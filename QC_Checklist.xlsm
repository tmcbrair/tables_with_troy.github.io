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mc:AlternateContent xmlns:mc="http://schemas.openxmlformats.org/markup-compatibility/2006">
    <mc:Choice Requires="x15">
      <x15ac:absPath xmlns:x15ac="http://schemas.microsoft.com/office/spreadsheetml/2010/11/ac" url="C:\Users\Troy\Desktop\SQL Notes\Portfolio stuff\Excel Sheet from Work\"/>
    </mc:Choice>
  </mc:AlternateContent>
  <xr:revisionPtr revIDLastSave="0" documentId="8_{188708E9-445F-4040-AF4F-C4590F2C976A}" xr6:coauthVersionLast="36" xr6:coauthVersionMax="36" xr10:uidLastSave="{00000000-0000-0000-0000-000000000000}"/>
  <bookViews>
    <workbookView xWindow="0" yWindow="0" windowWidth="36105" windowHeight="11685" tabRatio="828" xr2:uid="{00000000-000D-0000-FFFF-FFFF00000000}"/>
  </bookViews>
  <sheets>
    <sheet name="FHA Master Sheet" sheetId="14" r:id="rId1"/>
    <sheet name="CONV Master Sheet " sheetId="58" r:id="rId2"/>
    <sheet name="JUMBO Master Sheet" sheetId="211" r:id="rId3"/>
  </sheets>
  <externalReferences>
    <externalReference r:id="rId4"/>
  </externalReferences>
  <definedNames>
    <definedName name="CountSheets">GET.WORKBOOK(1)&amp;T(NOW())</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14" l="1"/>
  <c r="G6" i="14"/>
  <c r="F6" i="14"/>
  <c r="E6" i="14"/>
  <c r="D6" i="14"/>
  <c r="C6" i="14"/>
  <c r="B6" i="14"/>
  <c r="H1" i="14"/>
  <c r="B117" i="211" l="1"/>
  <c r="F6" i="211"/>
  <c r="E6" i="211"/>
  <c r="D6" i="211"/>
  <c r="C6" i="211"/>
  <c r="B6" i="211"/>
  <c r="F6" i="58"/>
  <c r="E6" i="58"/>
  <c r="D6" i="58"/>
  <c r="C6" i="58"/>
  <c r="B6" i="58"/>
  <c r="G1" i="211"/>
  <c r="G1" i="58"/>
  <c r="B11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Mcbrair</author>
    <author>Troy McBrair</author>
  </authors>
  <commentList>
    <comment ref="C1" authorId="0" shapeId="0" xr:uid="{8F623AE8-F521-4F49-9BAD-DE9B83C7C6A3}">
      <text>
        <r>
          <rPr>
            <sz val="9"/>
            <color indexed="81"/>
            <rFont val="Tahoma"/>
            <family val="2"/>
          </rPr>
          <t>The Mortgagee must downgrade and manually underwrite any Mortgage that received an Accept recommendation if:
1) the mortgage file contains information or documentation that cannot be entered into or evaluated by TOTAL Mortgage Scorecard;
2) additional information, not considered in the AUS recommendation affects the overall insurability of the Mortgage; 
3) the Borrower has $1,000 or more collectively in Disputed Derogatory Credit Accounts; 
4) the date of the Borrower’s bankruptcy discharge as reflected on bankruptcy documents is within two years from the date of case number assignment; 
5) the case number assignment date is within three years of the date of the transfer of title through a Pre-Foreclosure Sale (Short Sale);
6) the case number assignment date is within three years of the date of the transfer of title through a foreclosure sale;
7) the case number assignment date is within three years of the date of the transfer of title through a Deed-in-Lieu (DIL) of foreclosure;
8) the Mortgage Payment history, for any mortgage trade line reported on the credit report used to score the application, requires a downgrade as defined in Housing Obligations/Mortgage Payment History; 
9) the Borrower has undisclosed mortgage debt that requires a downgrade; or
10)business income shows a greater than 20 percent decline over the analysis period</t>
        </r>
        <r>
          <rPr>
            <b/>
            <sz val="9"/>
            <color indexed="81"/>
            <rFont val="Tahoma"/>
            <family val="2"/>
          </rPr>
          <t xml:space="preserve">
</t>
        </r>
        <r>
          <rPr>
            <sz val="9"/>
            <color indexed="81"/>
            <rFont val="Tahoma"/>
            <family val="2"/>
          </rPr>
          <t xml:space="preserve">
</t>
        </r>
      </text>
    </comment>
    <comment ref="E4" authorId="0" shapeId="0" xr:uid="{FD250154-2531-4CC0-AD8A-308228431080}">
      <text>
        <r>
          <rPr>
            <b/>
            <sz val="9"/>
            <color indexed="81"/>
            <rFont val="Tahoma"/>
            <family val="2"/>
          </rPr>
          <t>Date which the broker/banker submits the app</t>
        </r>
        <r>
          <rPr>
            <sz val="9"/>
            <color indexed="81"/>
            <rFont val="Tahoma"/>
            <family val="2"/>
          </rPr>
          <t xml:space="preserve">
</t>
        </r>
      </text>
    </comment>
    <comment ref="H4" authorId="0" shapeId="0" xr:uid="{B32A7C6A-4D63-460E-BC19-1DA3F1FCCE0F}">
      <text>
        <r>
          <rPr>
            <b/>
            <sz val="9"/>
            <color indexed="81"/>
            <rFont val="Tahoma"/>
            <family val="2"/>
          </rPr>
          <t>Date which the broker/banker submits the app</t>
        </r>
        <r>
          <rPr>
            <sz val="9"/>
            <color indexed="81"/>
            <rFont val="Tahoma"/>
            <family val="2"/>
          </rPr>
          <t xml:space="preserve">
</t>
        </r>
      </text>
    </comment>
    <comment ref="G7" authorId="0" shapeId="0" xr:uid="{EBD4BE82-F0C3-444E-B866-3112A610C6CA}">
      <text>
        <r>
          <rPr>
            <sz val="9"/>
            <color indexed="81"/>
            <rFont val="Tahoma"/>
            <family val="2"/>
          </rPr>
          <t>When Done reviewing docs, mark them as Received</t>
        </r>
        <r>
          <rPr>
            <sz val="9"/>
            <color indexed="81"/>
            <rFont val="Tahoma"/>
            <family val="2"/>
          </rPr>
          <t xml:space="preserve">
</t>
        </r>
      </text>
    </comment>
    <comment ref="A8" authorId="1" shapeId="0" xr:uid="{3FB06D12-7989-45FF-9A0B-F0573D62EA6E}">
      <text>
        <r>
          <rPr>
            <b/>
            <sz val="9"/>
            <color indexed="81"/>
            <rFont val="Tahoma"/>
            <family val="2"/>
          </rPr>
          <t>Suspend if it aint</t>
        </r>
        <r>
          <rPr>
            <sz val="9"/>
            <color indexed="81"/>
            <rFont val="Tahoma"/>
            <family val="2"/>
          </rPr>
          <t xml:space="preserve">
</t>
        </r>
      </text>
    </comment>
    <comment ref="C8" authorId="0" shapeId="0" xr:uid="{A783DDE6-1B37-452F-88D9-0AA9A5811273}">
      <text>
        <r>
          <rPr>
            <sz val="9"/>
            <color indexed="81"/>
            <rFont val="Tahoma"/>
            <family val="2"/>
          </rPr>
          <t xml:space="preserve">Hold Harmless document to be signed/dated at closing
</t>
        </r>
      </text>
    </comment>
    <comment ref="E8" authorId="0" shapeId="0" xr:uid="{DCD148E0-7A30-4243-B40C-2853B7F73581}">
      <text>
        <r>
          <rPr>
            <sz val="9"/>
            <color indexed="81"/>
            <rFont val="Tahoma"/>
            <family val="2"/>
          </rPr>
          <t>We will need to verify that the cust has sufficient assets to cover the charge account
Use 5% of the balance if DTI supports and no further verification
Use 5% of the balance if there is a 30day late reported</t>
        </r>
        <r>
          <rPr>
            <b/>
            <sz val="9"/>
            <color indexed="81"/>
            <rFont val="Tahoma"/>
            <family val="2"/>
          </rPr>
          <t xml:space="preserve">
</t>
        </r>
        <r>
          <rPr>
            <sz val="9"/>
            <color indexed="81"/>
            <rFont val="Tahoma"/>
            <family val="2"/>
          </rPr>
          <t xml:space="preserve">
</t>
        </r>
      </text>
    </comment>
    <comment ref="D9" authorId="0" shapeId="0" xr:uid="{84411EA7-1EF1-4202-9EEE-E319DAA97C13}">
      <text>
        <r>
          <rPr>
            <sz val="9"/>
            <color indexed="81"/>
            <rFont val="Tahoma"/>
            <family val="2"/>
          </rPr>
          <t>Estimated payment and in that case we would use 5% as our qualifying payment amount</t>
        </r>
        <r>
          <rPr>
            <sz val="9"/>
            <color indexed="81"/>
            <rFont val="Tahoma"/>
            <family val="2"/>
          </rPr>
          <t xml:space="preserve">
</t>
        </r>
      </text>
    </comment>
    <comment ref="E9" authorId="0" shapeId="0" xr:uid="{923955DC-38CD-4683-8672-826AAA375023}">
      <text>
        <r>
          <rPr>
            <sz val="9"/>
            <color indexed="81"/>
            <rFont val="Tahoma"/>
            <family val="2"/>
          </rPr>
          <t xml:space="preserve">Cannot Exclude with FHA if the remaining balance is &gt;5% of the income
</t>
        </r>
      </text>
    </comment>
    <comment ref="G9" authorId="0" shapeId="0" xr:uid="{A5F29549-1A76-4762-8889-83765F101071}">
      <text>
        <r>
          <rPr>
            <sz val="9"/>
            <color indexed="81"/>
            <rFont val="Tahoma"/>
            <family val="2"/>
          </rPr>
          <t xml:space="preserve">Top of 1003 page1 needs to be signed if joint. Not if singular applicant
</t>
        </r>
      </text>
    </comment>
    <comment ref="H9" authorId="1" shapeId="0" xr:uid="{5A2F5595-23C3-4A62-98FF-B3F6D57669A0}">
      <text>
        <r>
          <rPr>
            <sz val="9"/>
            <color indexed="81"/>
            <rFont val="Tahoma"/>
            <family val="2"/>
          </rPr>
          <t>If it isn’t updated, slack the PE directly and ask them to save it. If they are taking a while to answer, you may reach out to their manager. If significant time has passed with no reply, you may incomplete the final.</t>
        </r>
        <r>
          <rPr>
            <b/>
            <sz val="9"/>
            <color indexed="81"/>
            <rFont val="Tahoma"/>
            <family val="2"/>
          </rPr>
          <t xml:space="preserve">
</t>
        </r>
        <r>
          <rPr>
            <sz val="9"/>
            <color indexed="81"/>
            <rFont val="Tahoma"/>
            <family val="2"/>
          </rPr>
          <t xml:space="preserve">
</t>
        </r>
      </text>
    </comment>
    <comment ref="D10" authorId="0" shapeId="0" xr:uid="{F09C3640-C20F-4FA6-A7E7-5A00FE405E8F}">
      <text>
        <r>
          <rPr>
            <sz val="9"/>
            <color indexed="81"/>
            <rFont val="Tahoma"/>
            <family val="2"/>
          </rPr>
          <t>Additional Personal Info&gt;Additional Personal Info&gt;Name Affidavit
Mark Yes</t>
        </r>
        <r>
          <rPr>
            <sz val="9"/>
            <color indexed="81"/>
            <rFont val="Tahoma"/>
            <family val="2"/>
          </rPr>
          <t xml:space="preserve">
</t>
        </r>
      </text>
    </comment>
    <comment ref="F10" authorId="0" shapeId="0" xr:uid="{DC28A2D2-839F-4A6A-93E3-EB49575BFC03}">
      <text>
        <r>
          <rPr>
            <sz val="9"/>
            <color indexed="81"/>
            <rFont val="Tahoma"/>
            <family val="2"/>
          </rPr>
          <t>We must verify and document the deposit amount and source of funds</t>
        </r>
        <r>
          <rPr>
            <u/>
            <sz val="9"/>
            <color indexed="81"/>
            <rFont val="Tahoma"/>
            <family val="2"/>
          </rPr>
          <t xml:space="preserve"> if the amount of the earnest money deposit exceeds 1% of the sales price</t>
        </r>
        <r>
          <rPr>
            <sz val="9"/>
            <color indexed="81"/>
            <rFont val="Tahoma"/>
            <family val="2"/>
          </rPr>
          <t xml:space="preserve"> or is excessive based on the Borrower’s history of accumulating savings, by obtaining, OR funds are required for the MRD.</t>
        </r>
        <r>
          <rPr>
            <sz val="9"/>
            <color indexed="81"/>
            <rFont val="Tahoma"/>
            <family val="2"/>
          </rPr>
          <t xml:space="preserve">
1. A copy of the Borrower’s canceled check;
2. Certification from the deposit-holder acknowledging receipt of funds; 
3. Bank Statement showing funds leaving the account
</t>
        </r>
        <r>
          <rPr>
            <b/>
            <sz val="9"/>
            <color indexed="81"/>
            <rFont val="Tahoma"/>
            <family val="2"/>
          </rPr>
          <t>If we dont need to verify, back out the EMD from assets and document on Loan Transmittal Screen</t>
        </r>
      </text>
    </comment>
    <comment ref="H10" authorId="1" shapeId="0" xr:uid="{96BA22DF-064B-4D30-A873-FC1AEBF62066}">
      <text>
        <r>
          <rPr>
            <sz val="9"/>
            <color indexed="81"/>
            <rFont val="Tahoma"/>
            <family val="2"/>
          </rPr>
          <t>a. Match up CBR reference number
b. Make sure address matches number
c. Make sure LQI is within 10 days!!!!
d. Review new inquiries</t>
        </r>
        <r>
          <rPr>
            <b/>
            <sz val="9"/>
            <color indexed="81"/>
            <rFont val="Tahoma"/>
            <family val="2"/>
          </rPr>
          <t xml:space="preserve">
</t>
        </r>
        <r>
          <rPr>
            <sz val="9"/>
            <color indexed="81"/>
            <rFont val="Tahoma"/>
            <family val="2"/>
          </rPr>
          <t xml:space="preserve">
</t>
        </r>
      </text>
    </comment>
    <comment ref="D11" authorId="0" shapeId="0" xr:uid="{CB32425A-44A2-4594-9375-F5017CEC2615}">
      <text>
        <r>
          <rPr>
            <sz val="9"/>
            <color indexed="81"/>
            <rFont val="Tahoma"/>
            <family val="2"/>
          </rPr>
          <t>Make sure credit report ID and date match FMC AUS report</t>
        </r>
        <r>
          <rPr>
            <sz val="9"/>
            <color indexed="81"/>
            <rFont val="Tahoma"/>
            <family val="2"/>
          </rPr>
          <t xml:space="preserve">
</t>
        </r>
      </text>
    </comment>
    <comment ref="C12" authorId="0" shapeId="0" xr:uid="{B0FD8D11-5147-4C5E-8B61-9D646F24C6EF}">
      <text>
        <r>
          <rPr>
            <sz val="9"/>
            <color indexed="81"/>
            <rFont val="Tahoma"/>
            <family val="2"/>
          </rPr>
          <t xml:space="preserve">For Manual reviews, make sure both boxes are checked
</t>
        </r>
      </text>
    </comment>
    <comment ref="D12" authorId="0" shapeId="0" xr:uid="{52AAA49C-4BC4-4B69-9FD9-708D60966817}">
      <text>
        <r>
          <rPr>
            <sz val="9"/>
            <color indexed="81"/>
            <rFont val="Tahoma"/>
            <family val="2"/>
          </rPr>
          <t xml:space="preserve">For any debt that does not report months(like revolving), enter 12
</t>
        </r>
      </text>
    </comment>
    <comment ref="E12" authorId="0" shapeId="0" xr:uid="{33D236A0-45B0-4EBD-AD55-0ED19A506363}">
      <text>
        <r>
          <rPr>
            <sz val="9"/>
            <color indexed="81"/>
            <rFont val="Tahoma"/>
            <family val="2"/>
          </rPr>
          <t xml:space="preserve">Make sure all tradelines are dated current &lt;90days from the CBR date
</t>
        </r>
      </text>
    </comment>
    <comment ref="C13" authorId="0" shapeId="0" xr:uid="{045A752A-7C68-42EF-ACFC-4CCD3395E78F}">
      <text>
        <r>
          <rPr>
            <sz val="9"/>
            <color indexed="81"/>
            <rFont val="Tahoma"/>
            <family val="2"/>
          </rPr>
          <t xml:space="preserve">Approval Expiration date = 60days from review date
</t>
        </r>
      </text>
    </comment>
    <comment ref="L13" authorId="0" shapeId="0" xr:uid="{3A653955-EAA4-449A-9500-AF43546548E0}">
      <text>
        <r>
          <rPr>
            <sz val="9"/>
            <color indexed="81"/>
            <rFont val="Tahoma"/>
            <family val="2"/>
          </rPr>
          <t xml:space="preserve">Loan Registration&gt;Borrower Information
</t>
        </r>
      </text>
    </comment>
    <comment ref="A14" authorId="0" shapeId="0" xr:uid="{FBAEA9A5-6415-4337-BC33-5D8A4406201B}">
      <text>
        <r>
          <rPr>
            <sz val="9"/>
            <color indexed="81"/>
            <rFont val="Tahoma"/>
            <family val="2"/>
          </rPr>
          <t xml:space="preserve">Obtain non-borrowing spouse credit report to include all debts
-Need Non-Borrowering Spouse consent form(consent to verify SSN w/ 1098SSA)
-Not submitted to Total Scorecard
</t>
        </r>
        <r>
          <rPr>
            <b/>
            <sz val="9"/>
            <color indexed="81"/>
            <rFont val="Tahoma"/>
            <family val="2"/>
          </rPr>
          <t>**Get the Borrower Cert and Authorization form for non-borrowing Spouse**</t>
        </r>
        <r>
          <rPr>
            <sz val="9"/>
            <color indexed="81"/>
            <rFont val="Tahoma"/>
            <family val="2"/>
          </rPr>
          <t xml:space="preserve">
Louisiana, Arizona, California, Texas, Washington, Idaho, Nevada, New Mexico, and Wisconsin
Client Info&gt;Additional Borrower info&gt;Additional personal Info. This will show Yes or No. </t>
        </r>
      </text>
    </comment>
    <comment ref="B14" authorId="0" shapeId="0" xr:uid="{BC9FA14A-BF6B-404F-A197-2CC2F44156B2}">
      <text>
        <r>
          <rPr>
            <b/>
            <sz val="9"/>
            <color indexed="81"/>
            <rFont val="Tahoma"/>
            <family val="2"/>
          </rPr>
          <t>TI for CAIVRs number if not on file</t>
        </r>
      </text>
    </comment>
    <comment ref="F14" authorId="0" shapeId="0" xr:uid="{14714C7C-555B-49A7-9A3A-2ED3E8E067B0}">
      <text>
        <r>
          <rPr>
            <sz val="9"/>
            <color indexed="81"/>
            <rFont val="Tahoma"/>
            <family val="2"/>
          </rPr>
          <t xml:space="preserve">Enter seller credits on HUD Settlement fees under #523. Make sure total seller paid fees match the purchase agreement.
Any surplus over the product max, enter as #214
</t>
        </r>
      </text>
    </comment>
    <comment ref="A15" authorId="0" shapeId="0" xr:uid="{B9C17CFB-3156-4464-B3E0-9C32BAD9FBA9}">
      <text>
        <r>
          <rPr>
            <sz val="9"/>
            <color indexed="81"/>
            <rFont val="Tahoma"/>
            <family val="2"/>
          </rPr>
          <t>Refer to State Disclosure Guide for updated TNB Policy
Complete the TNB Screen using information on file.
Registration/Underwriting&gt;Print Loan Documents&gt;Print/Deliver via Docutech
    -Recipient(Underwriter)
    -Document Package(Ad Hoc-Underwriting)
Must have the TNB form completed by UW if loan being paid off within the following timeframes:
MA -60mo
RI - 60mo
SC -42mo
TN -30mo
VA -12mo
WV -24mo</t>
        </r>
      </text>
    </comment>
    <comment ref="B15" authorId="0" shapeId="0" xr:uid="{7FCB5436-538C-42C7-BE45-D3C1D01EE481}">
      <text>
        <r>
          <rPr>
            <sz val="9"/>
            <color indexed="81"/>
            <rFont val="Tahoma"/>
            <family val="2"/>
          </rPr>
          <t xml:space="preserve">Enter after the case number
</t>
        </r>
      </text>
    </comment>
    <comment ref="L15" authorId="0" shapeId="0" xr:uid="{232F0229-60FE-4229-9D74-8F2B4CE08E10}">
      <text>
        <r>
          <rPr>
            <sz val="9"/>
            <color indexed="81"/>
            <rFont val="Tahoma"/>
            <family val="2"/>
          </rPr>
          <t xml:space="preserve">Make sure 1003 Declarations match Lakewood Declarations for each borrower
</t>
        </r>
      </text>
    </comment>
    <comment ref="C16" authorId="0" shapeId="0" xr:uid="{0CFC036B-25EC-4FBD-9F5E-F2E40CA73BD2}">
      <text>
        <r>
          <rPr>
            <sz val="9"/>
            <color indexed="81"/>
            <rFont val="Tahoma"/>
            <family val="2"/>
          </rPr>
          <t xml:space="preserve">o Enter early check clear dates on every DU loan (date of initial DU run). Only run the Early Check results (request u/w under services tab) on Conv FNMA loans.
</t>
        </r>
      </text>
    </comment>
    <comment ref="D16" authorId="0" shapeId="0" xr:uid="{5C097DA7-A7DA-4053-BCF5-48368D6295D7}">
      <text>
        <r>
          <rPr>
            <sz val="9"/>
            <color indexed="81"/>
            <rFont val="Tahoma"/>
            <family val="2"/>
          </rPr>
          <t>&gt;=$1000 *Currently* Disputed Derogatory Accounts require a downgrade to manual. If dispute resolved and DU notices the tradeline, ok to proceed and "Not Include" in ratios</t>
        </r>
      </text>
    </comment>
    <comment ref="F16" authorId="0" shapeId="0" xr:uid="{8108E515-7FF1-49CB-AA39-C573B38744CB}">
      <text>
        <r>
          <rPr>
            <sz val="9"/>
            <color indexed="81"/>
            <rFont val="Tahoma"/>
            <family val="2"/>
          </rPr>
          <t>List Gift on Misc Asset Screen ONLY if they have not yet been received. Otherwise, list them on the Funds Source
Gift Donor Statement // Gift Check // Gift Receipt  Confirmation // Gift Letter
Conventional and USDA require that gift funds be removed from assets if they have been received and marked as Gift(like I did in MX)
Required Docs
1) The Mortgagee must obtain a gift letter signed and dated by the donor and Borrower that includes the following:
• the donor’s name, address, and telephone number;
• the donor’s relationship to the Borrower;
• the dollar amount of the gift; and
• a statement that no repayment is required
2) The Mortgagee must verify and document the transfer of gift funds from the donor to the Borrower in accordance with the requirements below.
a. If the gift funds have been verified in the Borrower’s account, obtain the donor’s bank statement showing the withdrawal and evidence of the deposit into the Borrower’s account.
b. If the gift funds are not verified in the Borrower’s account, obtain the certified check or money order or cashier’s check or wire transfer or other official check evidencing payment to the Borrower or settlement agent, and the donor’s bank statement evidencing sufficient funds for the amount of the gift.</t>
        </r>
      </text>
    </comment>
    <comment ref="G16" authorId="0" shapeId="0" xr:uid="{E72AD46B-65D0-45ED-A861-37FECF3B183C}">
      <text>
        <r>
          <rPr>
            <sz val="9"/>
            <color indexed="81"/>
            <rFont val="Tahoma"/>
            <family val="2"/>
          </rPr>
          <t xml:space="preserve">Run USPS on Processing Information form. Change to documented address or comment out why it was not changed. 
</t>
        </r>
      </text>
    </comment>
    <comment ref="L16" authorId="0" shapeId="0" xr:uid="{DF8E6E3F-F1A4-4521-9951-DBB9A1D03DA0}">
      <text>
        <r>
          <rPr>
            <sz val="9"/>
            <color indexed="81"/>
            <rFont val="Tahoma"/>
            <family val="2"/>
          </rPr>
          <t>Additional Personal Info Screen
Add AKA's here, and then add the AKA TI
Mini-C loans - Must add the names to the "Name Affidavit" TI as well</t>
        </r>
      </text>
    </comment>
    <comment ref="D17" authorId="0" shapeId="0" xr:uid="{B82B29E3-44A2-4277-BD29-D040372D1ACC}">
      <text>
        <r>
          <rPr>
            <sz val="9"/>
            <color indexed="81"/>
            <rFont val="Tahoma"/>
            <family val="2"/>
          </rPr>
          <t>IF total Collections &gt;2k, use 5% payment
If &lt;2k, zero out payment
Delete Medical Collections from VOL
MANUAL files require LOX's</t>
        </r>
      </text>
    </comment>
    <comment ref="E17" authorId="0" shapeId="0" xr:uid="{4F4741AF-98EF-4B37-9DCB-D945679912BF}">
      <text>
        <r>
          <rPr>
            <sz val="9"/>
            <color indexed="81"/>
            <rFont val="Tahoma"/>
            <family val="2"/>
          </rPr>
          <t>• All USDA full-doc and streamline transactions, FHA and VA Purchases and Cash-Out
Refinances, Non-FMC to FMC Rate/Term, Simple Refinances, Streamlines, and Non-FMC
to FMC VA IRRRLs (3/25/2020 through 6/28/2020 require 640 minimum score):
o Minimum credit score of 600 for each borrower for both Standard and Jumbo
transactions (effective 6/29/2020);
• FHA FMC to FMC Rate/Term, Simple Refinances, credit-qualifying FMC to FMC FHA
Streamline and FMC to FMC VA IRRRL Refinances:
o Minimum credit score of 550 for each borrower for both Standard and Jumbo
transactions;
• FMC to FMC FHA Streamline (non-credit qualifying):
o No minimum credit score required;
• FHA and VA Manufactured Housing:
o Minimum credit score of 640 for each borrower for all transactions.</t>
        </r>
        <r>
          <rPr>
            <sz val="9"/>
            <color indexed="81"/>
            <rFont val="Tahoma"/>
            <family val="2"/>
          </rPr>
          <t xml:space="preserve">
</t>
        </r>
      </text>
    </comment>
    <comment ref="F17" authorId="0" shapeId="0" xr:uid="{EC527851-9708-4518-AF7C-11978004DF2B}">
      <text>
        <r>
          <rPr>
            <sz val="9"/>
            <color indexed="81"/>
            <rFont val="Tahoma"/>
            <family val="2"/>
          </rPr>
          <t xml:space="preserve">a. States that the borrower does not need to move forward with the purchase if it does not appraise
b. May come in the form of alternative descriptions
c. Must state the agreed upon Sales Price
d. Used on all purchase transactions
e. </t>
        </r>
        <r>
          <rPr>
            <u/>
            <sz val="9"/>
            <color indexed="81"/>
            <rFont val="Tahoma"/>
            <family val="2"/>
          </rPr>
          <t>Only buyer and seller sign. Does not need to be signed by the agent</t>
        </r>
        <r>
          <rPr>
            <sz val="9"/>
            <color indexed="81"/>
            <rFont val="Tahoma"/>
            <family val="2"/>
          </rPr>
          <t xml:space="preserve">
f. *FHA MC-6 TI* on file if missing or incomplete
</t>
        </r>
      </text>
    </comment>
    <comment ref="A18" authorId="0" shapeId="0" xr:uid="{0AAF187A-BFC4-4B3F-8154-00D88BFD5F90}">
      <text>
        <r>
          <rPr>
            <sz val="9"/>
            <color indexed="81"/>
            <rFont val="Tahoma"/>
            <family val="2"/>
          </rPr>
          <t xml:space="preserve">o Gross Monthly Income
o Monthly Housing Expenses – this is where the taxes and ins are input
o Liabilities – do not use the Liabilities to update – need to use VOL screen (Verifs tab at top)  If you try to change under liabilities, you will not be able to use another screen, like reviewing the credit report.
o Loans with MI and FHA ONLY: Beside the MI factor (don’t ever click the lock icon) 
• Click paper with (+) sign to correct and/ or change MI.
• Click “Get MI” button in the pop-up screen.
• The MI will be run based on new loan parameters. </t>
        </r>
        <r>
          <rPr>
            <b/>
            <sz val="9"/>
            <color indexed="81"/>
            <rFont val="Tahoma"/>
            <family val="2"/>
          </rPr>
          <t xml:space="preserve">
</t>
        </r>
        <r>
          <rPr>
            <sz val="9"/>
            <color indexed="81"/>
            <rFont val="Tahoma"/>
            <family val="2"/>
          </rPr>
          <t xml:space="preserve">
</t>
        </r>
      </text>
    </comment>
    <comment ref="B18" authorId="0" shapeId="0" xr:uid="{8E97169C-75E1-43F5-B49D-F6568631D48C}">
      <text>
        <r>
          <rPr>
            <sz val="9"/>
            <color indexed="81"/>
            <rFont val="Tahoma"/>
            <family val="2"/>
          </rPr>
          <t>Make sure matches the rest of the file</t>
        </r>
        <r>
          <rPr>
            <sz val="9"/>
            <color indexed="81"/>
            <rFont val="Tahoma"/>
            <family val="2"/>
          </rPr>
          <t xml:space="preserve">
</t>
        </r>
      </text>
    </comment>
    <comment ref="E18" authorId="0" shapeId="0" xr:uid="{99FEB68C-68B9-465E-B722-7E35735DC4B2}">
      <text>
        <r>
          <rPr>
            <b/>
            <sz val="9"/>
            <color indexed="81"/>
            <rFont val="Tahoma"/>
            <family val="2"/>
          </rPr>
          <t>Chapter 7</t>
        </r>
        <r>
          <rPr>
            <sz val="9"/>
            <color indexed="81"/>
            <rFont val="Tahoma"/>
            <family val="2"/>
          </rPr>
          <t xml:space="preserve">
A Chapter 7 bankruptcy (liquidation) does not disqualify a Borrower from obtaining an FHA insured Mortgage if, at the time of case number assignment, at least 2 years have elapsed since the date of the bankruptcy discharge.  During this time, the Borrower must have:
• re-established good credit; or
• chosen not to incur new credit obligations.
An elapsed period of less than 2 years, but not less than 12 months, may be acceptable, if the Borrower:
• can show that the bankruptcy was caused by extenuating circumstances beyond the borrower’s control; and
• has since exhibited a documented ability to manage their financial affairs in a responsible manner.
</t>
        </r>
        <r>
          <rPr>
            <b/>
            <sz val="9"/>
            <color indexed="81"/>
            <rFont val="Tahoma"/>
            <family val="2"/>
          </rPr>
          <t xml:space="preserve">Chapter 13 </t>
        </r>
        <r>
          <rPr>
            <sz val="9"/>
            <color indexed="81"/>
            <rFont val="Tahoma"/>
            <family val="2"/>
          </rPr>
          <t xml:space="preserve">
• the borrower’s payment performance has been satisfactory;
• Do not need bankruptcy paperwork if the discharge date is listed
• The 12mo pay-out period is from the initiation of the bankruptcy, not the discharge date, so we would need to see the payment history over the past 12mo if still ongoing
• If the person is still within the 2yr timeframe of the chapter 13, would need to downgrade
• all required payments have been made on time; and
• the borrower has received written permission from the bankruptcy court to enter into the mortgage transaction.
</t>
        </r>
        <r>
          <rPr>
            <b/>
            <sz val="9"/>
            <color indexed="81"/>
            <rFont val="Tahoma"/>
            <family val="2"/>
          </rPr>
          <t>Required Documentation</t>
        </r>
        <r>
          <rPr>
            <sz val="9"/>
            <color indexed="81"/>
            <rFont val="Tahoma"/>
            <family val="2"/>
          </rPr>
          <t xml:space="preserve">
If the credit report does not verify the discharge date or additional documentation is necessary to determine if any liabilities were discharged in the bankruptcy, we must obtain the bankruptcy and discharge documents.
We must also document that the Borrower’s current situation indicates that the events which led to the bankruptcy are not likely to recur. 
</t>
        </r>
        <r>
          <rPr>
            <b/>
            <sz val="9"/>
            <color indexed="81"/>
            <rFont val="Tahoma"/>
            <family val="2"/>
          </rPr>
          <t xml:space="preserve">
</t>
        </r>
        <r>
          <rPr>
            <sz val="9"/>
            <color indexed="81"/>
            <rFont val="Tahoma"/>
            <family val="2"/>
          </rPr>
          <t xml:space="preserve">
</t>
        </r>
      </text>
    </comment>
    <comment ref="F18" authorId="0" shapeId="0" xr:uid="{CE84EEEC-1A9D-4896-8988-FA96D5D427E2}">
      <text>
        <r>
          <rPr>
            <sz val="9"/>
            <color indexed="81"/>
            <rFont val="Tahoma"/>
            <family val="2"/>
          </rPr>
          <t xml:space="preserve">a. Used to certify that all sales contract notes are accurate
b. </t>
        </r>
        <r>
          <rPr>
            <u/>
            <sz val="9"/>
            <color indexed="81"/>
            <rFont val="Tahoma"/>
            <family val="2"/>
          </rPr>
          <t>Signed by all parties and agents</t>
        </r>
        <r>
          <rPr>
            <b/>
            <sz val="9"/>
            <color indexed="81"/>
            <rFont val="Tahoma"/>
            <family val="2"/>
          </rPr>
          <t xml:space="preserve">
</t>
        </r>
        <r>
          <rPr>
            <sz val="9"/>
            <color indexed="81"/>
            <rFont val="Tahoma"/>
            <family val="2"/>
          </rPr>
          <t xml:space="preserve">
</t>
        </r>
      </text>
    </comment>
    <comment ref="G18" authorId="0" shapeId="0" xr:uid="{86F36F8E-078E-41DD-899E-26302EF04A74}">
      <text>
        <r>
          <rPr>
            <sz val="9"/>
            <color indexed="81"/>
            <rFont val="Tahoma"/>
            <family val="2"/>
          </rPr>
          <t>After the 1003
1) Make sure signed/dated
2) Review Intent To Occupy</t>
        </r>
      </text>
    </comment>
    <comment ref="L18" authorId="0" shapeId="0" xr:uid="{012A51C5-AF1D-4F18-B422-16330A3C7B8A}">
      <text>
        <r>
          <rPr>
            <sz val="9"/>
            <color indexed="81"/>
            <rFont val="Tahoma"/>
            <family val="2"/>
          </rPr>
          <t>Make sure all trades show either Credit Report or validated by UW
Enter Credit Report as the method</t>
        </r>
      </text>
    </comment>
    <comment ref="A19" authorId="0" shapeId="0" xr:uid="{1A1D878C-B899-43A1-996F-6BB97D43FAD5}">
      <text>
        <r>
          <rPr>
            <sz val="9"/>
            <color indexed="81"/>
            <rFont val="Tahoma"/>
            <family val="2"/>
          </rPr>
          <t>1) Verify correct</t>
        </r>
        <r>
          <rPr>
            <u/>
            <sz val="9"/>
            <color indexed="81"/>
            <rFont val="Tahoma"/>
            <family val="2"/>
          </rPr>
          <t xml:space="preserve"> plan</t>
        </r>
        <r>
          <rPr>
            <sz val="9"/>
            <color indexed="81"/>
            <rFont val="Tahoma"/>
            <family val="2"/>
          </rPr>
          <t xml:space="preserve"> has been selected based on FHA Case Assignment date and loan amount. Correct if needed.</t>
        </r>
        <r>
          <rPr>
            <sz val="9"/>
            <color indexed="81"/>
            <rFont val="Tahoma"/>
            <family val="2"/>
          </rPr>
          <t xml:space="preserve">
2) Write down the MI % (lower right) for later(ex. .80)
o Collect Mtg. Insurance = Yes. Press [Enter].
• Opens to MI Tables screen.
 Verify correct plan has been selected based on FHA Case Assignment date and loan amount. Correct if needed.
</t>
        </r>
      </text>
    </comment>
    <comment ref="B19" authorId="0" shapeId="0" xr:uid="{BBD1A6EF-9618-46F6-99B8-88BB45A89B14}">
      <text>
        <r>
          <rPr>
            <sz val="9"/>
            <color indexed="81"/>
            <rFont val="Tahoma"/>
            <family val="2"/>
          </rPr>
          <t>Enter in the flood info
If These figures are not listed on Cert:
No NFIP Map = Community Number
LOMA/LOMR Number = Cert Date &amp; Number</t>
        </r>
      </text>
    </comment>
    <comment ref="E19" authorId="0" shapeId="0" xr:uid="{3E0E0DC6-9B01-4D8A-AEA4-29A2D107C4AC}">
      <text>
        <r>
          <rPr>
            <sz val="9"/>
            <color indexed="81"/>
            <rFont val="Tahoma"/>
            <family val="2"/>
          </rPr>
          <t>CP: 09-27
When the credit report reflects multiple authorized user accounts, the Underwriter must inquire as to the owner of the accounts and obtain a written statement from the borrower regarding the use of the authorized user accounts. The letter must address who the account owner is, whether the borrower uses the account, and whether the borrower or the account owner makes the payments on the account. If the borrower’s statement outlines that the account owner, not the borrower, makes the payments, 
Fraud Prevention Page 10 of 10 Credit Policy Announcement 09-27 Red Flags –
Authorized User Accounts, continued and the borrower’s credit report is comprised of 75% authorized user tradelines (i.e. 8 accounts total, and 6 are authorized user accounts,) the Underwriter must require additional non-traditional tradelines to support the borrower’s credit payment history. The Underwriter must require additional non-traditional tradelines in order to establish a credit history comprised of at least three (3) active and current tradelines. For example, if the borrower’s credit report includes two (2) active and current tradelines, then one (1) additional non-traditional tradeline is required to establish satisfactory credit history</t>
        </r>
        <r>
          <rPr>
            <sz val="9"/>
            <color indexed="81"/>
            <rFont val="Tahoma"/>
            <family val="2"/>
          </rPr>
          <t xml:space="preserve">
</t>
        </r>
      </text>
    </comment>
    <comment ref="F19" authorId="0" shapeId="0" xr:uid="{3111416F-8544-42CE-B39C-E6FC23B6D6A0}">
      <text>
        <r>
          <rPr>
            <sz val="9"/>
            <color indexed="81"/>
            <rFont val="Tahoma"/>
            <family val="2"/>
          </rPr>
          <t>Seller paid contributions cannot exceed Closing cost(est)+Estimated Prepaid Items+Discount Points OR 6%
Interested Parties may contribute up to 6 percent of the sales price toward the Borrower’s origination fees, other closing costs, prepaid items and discount points. The 6 percent limit also includes:
• Interested Party payment for permanent and temporary interest rate buydowns, and other payment supplements;
• payments of mortgage interest for fixed rate Mortgages;
• Mortgage Payment protection insurance; and
• payment of the UFMIP (if this is not financed)
Can consider not financing the UFMIP, but would need to make sure it would be covered inside the seller paid concessions as it cannot be split.</t>
        </r>
        <r>
          <rPr>
            <sz val="9"/>
            <color indexed="81"/>
            <rFont val="Tahoma"/>
            <family val="2"/>
          </rPr>
          <t xml:space="preserve">
</t>
        </r>
      </text>
    </comment>
    <comment ref="G19" authorId="0" shapeId="0" xr:uid="{2341D0BA-8E54-4803-9B60-BC3598724220}">
      <text>
        <r>
          <rPr>
            <sz val="9"/>
            <color indexed="81"/>
            <rFont val="Tahoma"/>
            <family val="2"/>
          </rPr>
          <t>Important Notice to Homebuyer
-Used on both Purchase and Refi</t>
        </r>
      </text>
    </comment>
    <comment ref="L19" authorId="0" shapeId="0" xr:uid="{84096756-BCE2-46DA-A1F1-259D8D97497F}">
      <text>
        <r>
          <rPr>
            <sz val="9"/>
            <color indexed="81"/>
            <rFont val="Tahoma"/>
            <family val="2"/>
          </rPr>
          <t xml:space="preserve">o Property Status = N/A (unless property is an investment, then select “Rental”)
o Current/Subject = Both (unless subject is an investment then select “Subject Property”)
For payoffs:
o Use Credit Bereau on initial. If there is a payoff statement on file, use "Payoff Demand"
o Source Doc = “Payoff Demand” or "Credit Bureau"
o Ver Date = Date payoff was generated
o Good through = Expiration date from payoff statement (may go to end of month if per diem interest is shown)
</t>
        </r>
        <r>
          <rPr>
            <sz val="9"/>
            <color indexed="81"/>
            <rFont val="Tahoma"/>
            <family val="2"/>
          </rPr>
          <t xml:space="preserve">
</t>
        </r>
      </text>
    </comment>
    <comment ref="B20" authorId="0" shapeId="0" xr:uid="{F893797C-8185-4A2D-907B-568F479005B1}">
      <text>
        <r>
          <rPr>
            <sz val="9"/>
            <color indexed="81"/>
            <rFont val="Tahoma"/>
            <family val="2"/>
          </rPr>
          <t>o Ages of the borrower(s): if not completed, there will be an error.
o The Repayment Type Code should be blank for FHA loans.
o Enter VA CAIVRS #’s (close to the bottom of the form)
o Check box on VA loans if B/ CB is married, to avoid hard stop.
o If DU is “Ineligible” due to missing checked box, correct and re-run DU</t>
        </r>
        <r>
          <rPr>
            <b/>
            <sz val="9"/>
            <color indexed="81"/>
            <rFont val="Tahoma"/>
            <family val="2"/>
          </rPr>
          <t xml:space="preserve">
</t>
        </r>
        <r>
          <rPr>
            <sz val="9"/>
            <color indexed="81"/>
            <rFont val="Tahoma"/>
            <family val="2"/>
          </rPr>
          <t xml:space="preserve">
</t>
        </r>
      </text>
    </comment>
    <comment ref="F20" authorId="0" shapeId="0" xr:uid="{E51B5B63-5FF9-4E09-B75F-77FF2DCCBDC0}">
      <text>
        <r>
          <rPr>
            <sz val="9"/>
            <color indexed="81"/>
            <rFont val="Tahoma"/>
            <family val="2"/>
          </rPr>
          <t xml:space="preserve">Required for all homes built before 1978
</t>
        </r>
      </text>
    </comment>
    <comment ref="G20" authorId="0" shapeId="0" xr:uid="{D54883F2-BADC-4047-8918-254B7FA2F806}">
      <text>
        <r>
          <rPr>
            <sz val="9"/>
            <color indexed="81"/>
            <rFont val="Tahoma"/>
            <family val="2"/>
          </rPr>
          <t xml:space="preserve">Borrower Contract with Respect to Hotel and Transient
-Used for all 2-4 Fam
-Can be signed at closing
</t>
        </r>
      </text>
    </comment>
    <comment ref="L20" authorId="0" shapeId="0" xr:uid="{BEF8A565-AE64-401D-923B-0CEA47325106}">
      <text>
        <r>
          <rPr>
            <sz val="9"/>
            <color indexed="81"/>
            <rFont val="Tahoma"/>
            <family val="2"/>
          </rPr>
          <t>-Verify scores match Credit Report
-Verify Verification date is the CBR date
-Make sure good through Date is 120 days</t>
        </r>
      </text>
    </comment>
    <comment ref="A21" authorId="0" shapeId="0" xr:uid="{579FC70B-0730-4802-B2FF-7549B2D3311E}">
      <text>
        <r>
          <rPr>
            <sz val="9"/>
            <color indexed="81"/>
            <rFont val="Tahoma"/>
            <family val="2"/>
          </rPr>
          <t>1) Divorce Decree or Separatation agreement
2) PS covering atleast 28days</t>
        </r>
        <r>
          <rPr>
            <b/>
            <sz val="9"/>
            <color indexed="81"/>
            <rFont val="Tahoma"/>
            <family val="2"/>
          </rPr>
          <t xml:space="preserve">
</t>
        </r>
        <r>
          <rPr>
            <sz val="9"/>
            <color indexed="81"/>
            <rFont val="Tahoma"/>
            <family val="2"/>
          </rPr>
          <t xml:space="preserve">
Add as a liability</t>
        </r>
      </text>
    </comment>
    <comment ref="B21" authorId="0" shapeId="0" xr:uid="{E774AC28-1E7B-409F-8D99-1E783705A227}">
      <text>
        <r>
          <rPr>
            <sz val="9"/>
            <color indexed="81"/>
            <rFont val="Tahoma"/>
            <family val="2"/>
          </rPr>
          <t>o The 92900a input listed on this screen
o Page 3 of 4; Approved &amp; Additional Conditions is where your FHA approval date, expiration date, and underwriter signature is placed.
o Add your name and click the box for approval, if applicable. 
Once HUD Addendum comes in, will need to update bottom of page</t>
        </r>
        <r>
          <rPr>
            <b/>
            <sz val="9"/>
            <color indexed="81"/>
            <rFont val="Tahoma"/>
            <family val="2"/>
          </rPr>
          <t xml:space="preserve">
</t>
        </r>
        <r>
          <rPr>
            <sz val="9"/>
            <color indexed="81"/>
            <rFont val="Tahoma"/>
            <family val="2"/>
          </rPr>
          <t xml:space="preserve">
</t>
        </r>
      </text>
    </comment>
    <comment ref="D21" authorId="0" shapeId="0" xr:uid="{8C1FB56B-16BC-4310-BC91-83F83A354149}">
      <text>
        <r>
          <rPr>
            <sz val="9"/>
            <color indexed="81"/>
            <rFont val="Tahoma"/>
            <family val="2"/>
          </rPr>
          <t xml:space="preserve">Check the Date Acquired date on the Refinance screen when you Enter into the loan purpose
If refinancing the property &lt;12mo since the previous case number assignement, use the lessor of the purchase price or appraised value
</t>
        </r>
        <r>
          <rPr>
            <b/>
            <sz val="9"/>
            <color indexed="81"/>
            <rFont val="Tahoma"/>
            <family val="2"/>
          </rPr>
          <t>Use FHA Connection for the following information!</t>
        </r>
        <r>
          <rPr>
            <sz val="9"/>
            <color indexed="81"/>
            <rFont val="Tahoma"/>
            <family val="2"/>
          </rPr>
          <t xml:space="preserve">
General Information Applicable to All Streamline Refinances
(a) Mortgage Seasoning Requirements
On the date of the FHA case number assignment:
• the Borrower must have made </t>
        </r>
        <r>
          <rPr>
            <u/>
            <sz val="9"/>
            <color indexed="81"/>
            <rFont val="Tahoma"/>
            <family val="2"/>
          </rPr>
          <t>at least six payments</t>
        </r>
        <r>
          <rPr>
            <sz val="9"/>
            <color indexed="81"/>
            <rFont val="Tahoma"/>
            <family val="2"/>
          </rPr>
          <t xml:space="preserve"> on the FHA-insured Mortgage that is being refinanced;
• at least six full months must have passed since the first payment due date of the Mortgage that is being refinanced;
• at least 210 Days must have passed from the Closing Date of the Mortgage that is being refinanced; and
• if the Borrower assumed the Mortgage that is being refinanced, they must have made six payments since the time of assumption.</t>
        </r>
      </text>
    </comment>
    <comment ref="G21" authorId="0" shapeId="0" xr:uid="{1B8DE45A-A9BE-4247-8B7A-72F1B133DA1B}">
      <text>
        <r>
          <rPr>
            <sz val="9"/>
            <color indexed="81"/>
            <rFont val="Tahoma"/>
            <family val="2"/>
          </rPr>
          <t xml:space="preserve">203k only, or if deemed needed by UW for purchases
</t>
        </r>
      </text>
    </comment>
    <comment ref="L21" authorId="0" shapeId="0" xr:uid="{88E5E41D-7EC7-4431-87F7-EA24D8713D3D}">
      <text>
        <r>
          <rPr>
            <sz val="9"/>
            <color indexed="81"/>
            <rFont val="Tahoma"/>
            <family val="2"/>
          </rPr>
          <t>ONLY used if there are any Late Mortgage Payments
If there are any lates, enter the correct lates for each tradeline using the Credit Report
See Mortgage Hisotyr Data Entry notes</t>
        </r>
      </text>
    </comment>
    <comment ref="E22" authorId="0" shapeId="0" xr:uid="{24A852D1-3597-4DB2-B1D3-2711AA732B03}">
      <text>
        <r>
          <rPr>
            <sz val="9"/>
            <color indexed="81"/>
            <rFont val="Tahoma"/>
            <family val="2"/>
          </rPr>
          <t xml:space="preserve">Make sure there is no 5% Factor
</t>
        </r>
      </text>
    </comment>
    <comment ref="F22" authorId="0" shapeId="0" xr:uid="{B23015C9-10D9-4C2A-8B34-5C142492DA03}">
      <text>
        <r>
          <rPr>
            <sz val="9"/>
            <color indexed="81"/>
            <rFont val="Tahoma"/>
            <family val="2"/>
          </rPr>
          <t>May have to amend contract to extend out closing date</t>
        </r>
        <r>
          <rPr>
            <sz val="9"/>
            <color indexed="81"/>
            <rFont val="Tahoma"/>
            <family val="2"/>
          </rPr>
          <t xml:space="preserve">
</t>
        </r>
      </text>
    </comment>
    <comment ref="G22" authorId="0" shapeId="0" xr:uid="{A7FBC029-F238-4070-BA54-A29DC55158DC}">
      <text>
        <r>
          <rPr>
            <sz val="9"/>
            <color indexed="81"/>
            <rFont val="Tahoma"/>
            <family val="2"/>
          </rPr>
          <t xml:space="preserve">purchases only &amp; signature not required
</t>
        </r>
      </text>
    </comment>
    <comment ref="L22" authorId="0" shapeId="0" xr:uid="{2BC60514-B706-4C0C-83E6-F4C52FF1C42F}">
      <text>
        <r>
          <rPr>
            <sz val="9"/>
            <color indexed="81"/>
            <rFont val="Tahoma"/>
            <family val="2"/>
          </rPr>
          <t xml:space="preserve">Must be completed for all FHA Full Document transactions
o If counseled, change to Agency FHA, Counseling Administrator HUD APPROVED COUNSELING AGENCY and Format of Counseling FACE TO FACE.
o For loans that do not require counseling, select “N/A” under Counseling Administrator.
o If there is no indication that Homeowner Counseling was completed, select “N/A”.
</t>
        </r>
      </text>
    </comment>
    <comment ref="A23" authorId="0" shapeId="0" xr:uid="{FC8541FB-82B1-4DB6-B4E5-8C2FCFF2C574}">
      <text>
        <r>
          <rPr>
            <sz val="9"/>
            <color indexed="81"/>
            <rFont val="Tahoma"/>
            <family val="2"/>
          </rPr>
          <t xml:space="preserve">Used for downpayments
If there is ever a gift, it </t>
        </r>
        <r>
          <rPr>
            <u/>
            <sz val="9"/>
            <color indexed="81"/>
            <rFont val="Tahoma"/>
            <family val="2"/>
          </rPr>
          <t>MUST</t>
        </r>
        <r>
          <rPr>
            <sz val="9"/>
            <color indexed="81"/>
            <rFont val="Tahoma"/>
            <family val="2"/>
          </rPr>
          <t xml:space="preserve"> be entered on this screen
Press Insert to Enter Additional Source
-FHA-Gift-Source-Relative
If receiving a gift, Funds Source will always be gift and the full amount of the gift will be listed. Then when you get to assets, if the gift has already been deposited just enter the Borrower&gt;Checking/Savings account as normal and keep FHA gift funds as is as the system will back out the funds automatically.</t>
        </r>
      </text>
    </comment>
    <comment ref="B23" authorId="0" shapeId="0" xr:uid="{681806DE-5512-43CC-B223-50DE2242AC6C}">
      <text>
        <r>
          <rPr>
            <sz val="9"/>
            <color indexed="81"/>
            <rFont val="Tahoma"/>
            <family val="2"/>
          </rPr>
          <t>Date MTG Approved = Final DU Date
Date Approval Expires = 30days</t>
        </r>
      </text>
    </comment>
    <comment ref="E23" authorId="0" shapeId="0" xr:uid="{19E5BBA8-39F1-45A3-A915-93F369F76B8A}">
      <text>
        <r>
          <rPr>
            <sz val="9"/>
            <color indexed="81"/>
            <rFont val="Tahoma"/>
            <family val="2"/>
          </rPr>
          <t>o Check box to Print borrower’s authorization 
o Enter Borrower’s owned residence information( address, monthly pymnt, Property used as, subject property, if applicable).
o Attach/Show Liens, click box
oCannot have 2 primarys. If keeping homes after sale of current home, change previous primary to investment. Cannot do secondary within 100 miles of primary</t>
        </r>
        <r>
          <rPr>
            <b/>
            <sz val="9"/>
            <color indexed="81"/>
            <rFont val="Tahoma"/>
            <family val="2"/>
          </rPr>
          <t xml:space="preserve">
</t>
        </r>
        <r>
          <rPr>
            <sz val="9"/>
            <color indexed="81"/>
            <rFont val="Tahoma"/>
            <family val="2"/>
          </rPr>
          <t xml:space="preserve">
</t>
        </r>
      </text>
    </comment>
    <comment ref="G23" authorId="0" shapeId="0" xr:uid="{82439BB3-3ABC-4C3C-B3F0-77CE66E63234}">
      <text>
        <r>
          <rPr>
            <sz val="9"/>
            <color indexed="81"/>
            <rFont val="Tahoma"/>
            <family val="2"/>
          </rPr>
          <t xml:space="preserve">New Construction only
</t>
        </r>
      </text>
    </comment>
    <comment ref="A24" authorId="0" shapeId="0" xr:uid="{8F759D40-2674-4926-869A-26E4DA894594}">
      <text>
        <r>
          <rPr>
            <sz val="9"/>
            <color indexed="81"/>
            <rFont val="Tahoma"/>
            <family val="2"/>
          </rPr>
          <t xml:space="preserve">**Remove Borrower Paid Fees**
(Seller paid CC, Cash deposit EM, Lender credit, MI refund, as applicable)
</t>
        </r>
      </text>
    </comment>
    <comment ref="B24" authorId="0" shapeId="0" xr:uid="{EBED10CF-1650-4699-9B5E-3E21F085AB54}">
      <text>
        <r>
          <rPr>
            <sz val="9"/>
            <color indexed="81"/>
            <rFont val="Tahoma"/>
            <family val="2"/>
          </rPr>
          <t>o Check box beside question Have you any …
o Make sure DOB is in the bluefield</t>
        </r>
        <r>
          <rPr>
            <b/>
            <sz val="9"/>
            <color indexed="81"/>
            <rFont val="Tahoma"/>
            <family val="2"/>
          </rPr>
          <t xml:space="preserve">
</t>
        </r>
        <r>
          <rPr>
            <sz val="9"/>
            <color indexed="81"/>
            <rFont val="Tahoma"/>
            <family val="2"/>
          </rPr>
          <t xml:space="preserve">
</t>
        </r>
      </text>
    </comment>
    <comment ref="D24" authorId="0" shapeId="0" xr:uid="{136BA255-A210-4926-A1BC-228A6107B47A}">
      <text>
        <r>
          <rPr>
            <sz val="9"/>
            <color indexed="81"/>
            <rFont val="Tahoma"/>
            <family val="2"/>
          </rPr>
          <t>Mark them all as reviewed</t>
        </r>
        <r>
          <rPr>
            <sz val="9"/>
            <color indexed="81"/>
            <rFont val="Tahoma"/>
            <family val="2"/>
          </rPr>
          <t xml:space="preserve">
</t>
        </r>
      </text>
    </comment>
    <comment ref="E24" authorId="0" shapeId="0" xr:uid="{59994183-762E-44F0-BAC7-77B48CDF23CA}">
      <text>
        <r>
          <rPr>
            <sz val="9"/>
            <color indexed="81"/>
            <rFont val="Tahoma"/>
            <family val="2"/>
          </rPr>
          <t xml:space="preserve">o Press [Enter] on employer to be updated to move down to “Verification Methods”.
o Press [Insert] to add a new record (do not change existing records).
o If Employer information needs to be corrected (name, address, phone number).
o Press Up Arrow, press [Enter]. Correct information. Press [Home] once completed.
o Complete information on “Employment Information” screen. Press [Enter] to move forward.
o “Source Document” - Select document type (in pop-up) used to verify and calculate income.
o Source Date – Enter ending date on income document (e.g. pay period end date on most recent paystub)
o Source Good Through Rule - press [Tab], select expiration period (e.g.120 days)
o Valid - Type “Yes”. NOTE: If not changed to “Yes”, this income will not be used to qualify.
</t>
        </r>
        <r>
          <rPr>
            <u/>
            <sz val="9"/>
            <color indexed="81"/>
            <rFont val="Tahoma"/>
            <family val="2"/>
          </rPr>
          <t>o 4506T field – change to “Full Transcript” on all loans (even if transcripts not obtained).</t>
        </r>
        <r>
          <rPr>
            <sz val="9"/>
            <color indexed="81"/>
            <rFont val="Tahoma"/>
            <family val="2"/>
          </rPr>
          <t xml:space="preserve">
o Press [Enter] to bring up the Employment Income section
o NOTE: If you are returned to “Verification Methods” section,
o Select the record you entered and press [Enter].
o Press [Enter] through screen past “4506T” field, Employment Information will now pop-up.
o To change income (from “Employment Income” pop-up screen),
o Use down arrow to select income to update.
o Press [Enter], update income to match calculated income (from Blueprint worksheet),
o Press [Home] and use up/down arrows to move to other income types,
o Press [Enter] and enter other applicable income types, press [Home]. Repeat if needed.
o Press [Home] repeatedly to exit screen until back to Borrower Information, OR
o If borrower has additional Employment, Press [Home] until cursor is in the “Employers” box (box above “Verification Methods”). Select additional Employer, press [Enter] to go to “Verification Methods”. Press [Insert] to add new record. Repeat process above.
****The Work Number**** - Choose Written Statement</t>
        </r>
        <r>
          <rPr>
            <b/>
            <sz val="9"/>
            <color indexed="81"/>
            <rFont val="Tahoma"/>
            <family val="2"/>
          </rPr>
          <t xml:space="preserve">
</t>
        </r>
        <r>
          <rPr>
            <sz val="9"/>
            <color indexed="81"/>
            <rFont val="Tahoma"/>
            <family val="2"/>
          </rPr>
          <t xml:space="preserve">
</t>
        </r>
      </text>
    </comment>
    <comment ref="G24" authorId="0" shapeId="0" xr:uid="{0391043B-9BD0-4D22-9BB3-0D9C73753734}">
      <text>
        <r>
          <rPr>
            <sz val="9"/>
            <color indexed="81"/>
            <rFont val="Tahoma"/>
            <family val="2"/>
          </rPr>
          <t>New Construction only</t>
        </r>
      </text>
    </comment>
    <comment ref="K24" authorId="0" shapeId="0" xr:uid="{6F4B99AC-BBED-44FA-9F37-90D87E76983D}">
      <text>
        <r>
          <rPr>
            <sz val="9"/>
            <color indexed="81"/>
            <rFont val="Tahoma"/>
            <family val="2"/>
          </rPr>
          <t xml:space="preserve">Change through BPM on the Loan Status screen to Received by UW
</t>
        </r>
      </text>
    </comment>
    <comment ref="G25" authorId="0" shapeId="0" xr:uid="{76053691-84AE-4CD0-8CFE-24971F9E8FBB}">
      <text>
        <r>
          <rPr>
            <sz val="9"/>
            <color indexed="81"/>
            <rFont val="Tahoma"/>
            <family val="2"/>
          </rPr>
          <t xml:space="preserve">New Construction only– 99a and if required 99b
</t>
        </r>
      </text>
    </comment>
    <comment ref="H25" authorId="1" shapeId="0" xr:uid="{A85F2DA2-9F23-4210-8B09-7756EC5AF6CF}">
      <text>
        <r>
          <rPr>
            <sz val="9"/>
            <color indexed="81"/>
            <rFont val="Tahoma"/>
            <family val="2"/>
          </rPr>
          <t>i. Verified - Yes
ii. Is Final – Yes
iii. Check DTI/CLTV
iv. PIW Still on Loan</t>
        </r>
        <r>
          <rPr>
            <b/>
            <sz val="9"/>
            <color indexed="81"/>
            <rFont val="Tahoma"/>
            <family val="2"/>
          </rPr>
          <t xml:space="preserve">
</t>
        </r>
        <r>
          <rPr>
            <sz val="9"/>
            <color indexed="81"/>
            <rFont val="Tahoma"/>
            <family val="2"/>
          </rPr>
          <t xml:space="preserve">
</t>
        </r>
      </text>
    </comment>
    <comment ref="L25" authorId="0" shapeId="0" xr:uid="{E9298AA3-E29C-4079-AFDA-7723D884675B}">
      <text>
        <r>
          <rPr>
            <sz val="9"/>
            <color indexed="81"/>
            <rFont val="Tahoma"/>
            <family val="2"/>
          </rPr>
          <t xml:space="preserve">Check appraisal date(if on file) against the disaster area
If no appraisal in on initial, will need to make a F5 comment ***Do Not Fund*** listing that we need to verify the proeprty is still exiting using the appraisal
</t>
        </r>
      </text>
    </comment>
    <comment ref="G26" authorId="0" shapeId="0" xr:uid="{0BAC31F1-C4A0-45D6-9082-20016796D5F9}">
      <text>
        <r>
          <rPr>
            <sz val="9"/>
            <color indexed="81"/>
            <rFont val="Tahoma"/>
            <family val="2"/>
          </rPr>
          <t xml:space="preserve">New Construction only
</t>
        </r>
      </text>
    </comment>
    <comment ref="K26" authorId="0" shapeId="0" xr:uid="{E220D646-11E7-44D2-A19C-D9075E8E2C55}">
      <text>
        <r>
          <rPr>
            <sz val="9"/>
            <color indexed="81"/>
            <rFont val="Tahoma"/>
            <family val="2"/>
          </rPr>
          <t xml:space="preserve">Check both Broker and UW Comments
</t>
        </r>
      </text>
    </comment>
    <comment ref="A27" authorId="0" shapeId="0" xr:uid="{8D8F622E-8777-40FE-8FB0-6649EFD2F428}">
      <text>
        <r>
          <rPr>
            <b/>
            <sz val="9"/>
            <color indexed="81"/>
            <rFont val="Tahoma"/>
            <family val="2"/>
          </rPr>
          <t>Basic Info Screen</t>
        </r>
        <r>
          <rPr>
            <sz val="9"/>
            <color indexed="81"/>
            <rFont val="Tahoma"/>
            <family val="2"/>
          </rPr>
          <t xml:space="preserve">
</t>
        </r>
      </text>
    </comment>
    <comment ref="G27" authorId="0" shapeId="0" xr:uid="{6A439A73-D0FE-4763-9434-04533EB207D7}">
      <text>
        <r>
          <rPr>
            <sz val="9"/>
            <color indexed="81"/>
            <rFont val="Tahoma"/>
            <family val="2"/>
          </rPr>
          <t>TX Advanced Fee/Application Disclosure 
TX Notice Concerning Extension of Credit</t>
        </r>
        <r>
          <rPr>
            <b/>
            <sz val="9"/>
            <color indexed="81"/>
            <rFont val="Tahoma"/>
            <family val="2"/>
          </rPr>
          <t xml:space="preserve">
TX Mortgage Banker Conditional Qualification Letter(form A)</t>
        </r>
        <r>
          <rPr>
            <sz val="9"/>
            <color indexed="81"/>
            <rFont val="Tahoma"/>
            <family val="2"/>
          </rPr>
          <t xml:space="preserve">
</t>
        </r>
        <r>
          <rPr>
            <b/>
            <sz val="9"/>
            <color indexed="81"/>
            <rFont val="Tahoma"/>
            <family val="2"/>
          </rPr>
          <t>TX Mortgage Banker Disclosure
TX Mortgage Company Disclosure</t>
        </r>
        <r>
          <rPr>
            <sz val="9"/>
            <color indexed="81"/>
            <rFont val="Tahoma"/>
            <family val="2"/>
          </rPr>
          <t xml:space="preserve">
TX Notice Concerning Refinancing Existing Home(Refi only)
</t>
        </r>
      </text>
    </comment>
    <comment ref="K27" authorId="0" shapeId="0" xr:uid="{7A98F639-AF3B-42C9-9A07-FC03E0CEC44F}">
      <text>
        <r>
          <rPr>
            <sz val="9"/>
            <color indexed="81"/>
            <rFont val="Tahoma"/>
            <family val="2"/>
          </rPr>
          <t xml:space="preserve">Write down SSN's for all apps. 
Back all the way out to the Wholesale Main Menu&gt;#15 Servicing Data Lookup
</t>
        </r>
      </text>
    </comment>
    <comment ref="G28" authorId="0" shapeId="0" xr:uid="{076CAC58-0F93-43A3-B338-35F61637E9F4}">
      <text>
        <r>
          <rPr>
            <sz val="9"/>
            <color indexed="81"/>
            <rFont val="Tahoma"/>
            <family val="2"/>
          </rPr>
          <t>17-02 Guidelines</t>
        </r>
        <r>
          <rPr>
            <sz val="9"/>
            <color indexed="81"/>
            <rFont val="Tahoma"/>
            <family val="2"/>
          </rPr>
          <t xml:space="preserve">
</t>
        </r>
      </text>
    </comment>
    <comment ref="B29" authorId="0" shapeId="0" xr:uid="{681A4F70-42E8-413A-BE6D-6CDCF1826C28}">
      <text>
        <r>
          <rPr>
            <sz val="9"/>
            <color indexed="81"/>
            <rFont val="Tahoma"/>
            <family val="2"/>
          </rPr>
          <t>make sure the CAIVRS #s and LDP/GSA boxes are checked and if a manual underwrite, input your CHUMS ID</t>
        </r>
        <r>
          <rPr>
            <sz val="9"/>
            <color indexed="81"/>
            <rFont val="Tahoma"/>
            <family val="2"/>
          </rPr>
          <t xml:space="preserve">
</t>
        </r>
      </text>
    </comment>
    <comment ref="E29" authorId="0" shapeId="0" xr:uid="{11B96159-3646-409A-B140-F767BF1999FA}">
      <text>
        <r>
          <rPr>
            <sz val="9"/>
            <color indexed="81"/>
            <rFont val="Tahoma"/>
            <family val="2"/>
          </rPr>
          <t xml:space="preserve">Source Date=Pay Period End Date
</t>
        </r>
      </text>
    </comment>
    <comment ref="F29" authorId="0" shapeId="0" xr:uid="{0C973314-1E00-4A59-B037-2779A2EA7672}">
      <text>
        <r>
          <rPr>
            <sz val="9"/>
            <color indexed="81"/>
            <rFont val="Tahoma"/>
            <family val="2"/>
          </rPr>
          <t xml:space="preserve">FHA: Deposits in excess of 1% of the sales price or deposits that appear excessive based
on the borrower’s earnings or accumulated savings must be explained and documented.
</t>
        </r>
      </text>
    </comment>
    <comment ref="G29" authorId="0" shapeId="0" xr:uid="{6C1C0BCF-460C-493A-89D8-AB5ED911BC37}">
      <text>
        <r>
          <rPr>
            <sz val="9"/>
            <color indexed="81"/>
            <rFont val="Tahoma"/>
            <family val="2"/>
          </rPr>
          <t xml:space="preserve">Make sure the updated insurance dec page matches the current loan info
</t>
        </r>
      </text>
    </comment>
    <comment ref="G30" authorId="0" shapeId="0" xr:uid="{3C558503-1127-4F03-9A48-001394084C18}">
      <text>
        <r>
          <rPr>
            <sz val="9"/>
            <color indexed="81"/>
            <rFont val="Tahoma"/>
            <family val="2"/>
          </rPr>
          <t xml:space="preserve">For Refinance transasctions, must have 60 days remaining on policy term. 
For purchase, must be good for 12mo. 
</t>
        </r>
      </text>
    </comment>
    <comment ref="D31" authorId="0" shapeId="0" xr:uid="{8D8A3ACB-DE74-49A9-B900-D94215798C63}">
      <text>
        <r>
          <rPr>
            <sz val="9"/>
            <color indexed="81"/>
            <rFont val="Tahoma"/>
            <family val="2"/>
          </rPr>
          <t>If showing warning, pend for FHA Case Assignement Validation</t>
        </r>
        <r>
          <rPr>
            <sz val="9"/>
            <color indexed="81"/>
            <rFont val="Tahoma"/>
            <family val="2"/>
          </rPr>
          <t xml:space="preserve">
</t>
        </r>
      </text>
    </comment>
    <comment ref="G31" authorId="0" shapeId="0" xr:uid="{437B79B3-9BB3-4698-BAE4-EE311F2237CD}">
      <text>
        <r>
          <rPr>
            <sz val="9"/>
            <color indexed="81"/>
            <rFont val="Tahoma"/>
            <family val="2"/>
          </rPr>
          <t>Coverage + replacement cost exceeds loan amount</t>
        </r>
      </text>
    </comment>
    <comment ref="E32" authorId="0" shapeId="0" xr:uid="{C32D7E6E-067A-4B1E-A697-37127977D9FC}">
      <text>
        <r>
          <rPr>
            <sz val="9"/>
            <color indexed="81"/>
            <rFont val="Tahoma"/>
            <family val="2"/>
          </rPr>
          <t xml:space="preserve">Transmittal summary screen
</t>
        </r>
      </text>
    </comment>
    <comment ref="F32" authorId="0" shapeId="0" xr:uid="{D3CB0314-50D4-44B9-B4DC-65C1DB899AE6}">
      <text>
        <r>
          <rPr>
            <sz val="9"/>
            <color indexed="81"/>
            <rFont val="Tahoma"/>
            <family val="2"/>
          </rPr>
          <t xml:space="preserve">Can use 1mo bank statement if previous month balance is listed
</t>
        </r>
      </text>
    </comment>
    <comment ref="F33" authorId="0" shapeId="0" xr:uid="{97DE4569-37F5-41A5-98E1-98A4CA35C677}">
      <text>
        <r>
          <rPr>
            <sz val="9"/>
            <color indexed="81"/>
            <rFont val="Tahoma"/>
            <family val="2"/>
          </rPr>
          <t xml:space="preserve">If joint account and one a single borrower
</t>
        </r>
      </text>
    </comment>
    <comment ref="G33" authorId="0" shapeId="0" xr:uid="{422FF2D1-9135-4353-81E1-20D8F3B9C2FE}">
      <text>
        <r>
          <rPr>
            <sz val="9"/>
            <color indexed="81"/>
            <rFont val="Tahoma"/>
            <family val="2"/>
          </rPr>
          <t>For FHA and VA loans, the maximum deductible is the lesser of $10,000
or five percent (5%) of the face amount of the policy.</t>
        </r>
        <r>
          <rPr>
            <sz val="9"/>
            <color indexed="81"/>
            <rFont val="Tahoma"/>
            <family val="2"/>
          </rPr>
          <t xml:space="preserve">
FHA/VA Only - When there is a separate deductible or a separate policy
for windstorm, hurricane, HO-6 (walls-in) or other separate policy
coverage, the maximum deductible is the lesser of $10,000 or five percent
(5%) of the face amount of the policy</t>
        </r>
      </text>
    </comment>
    <comment ref="A34" authorId="0" shapeId="0" xr:uid="{80CDA2D8-51E8-4EB0-8895-B443B13F804D}">
      <text>
        <r>
          <rPr>
            <sz val="9"/>
            <color indexed="81"/>
            <rFont val="Tahoma"/>
            <family val="2"/>
          </rPr>
          <t xml:space="preserve">&gt;50 miles requires LOX. On refi transactions, assume they have been doing this in the past
</t>
        </r>
      </text>
    </comment>
    <comment ref="D34" authorId="0" shapeId="0" xr:uid="{E532B3D9-CA98-4F09-B08C-EE51905963FC}">
      <text>
        <r>
          <rPr>
            <sz val="9"/>
            <color indexed="81"/>
            <rFont val="Tahoma"/>
            <family val="2"/>
          </rPr>
          <t>If corrections are to be made, add FHA Case Assignment Correction TI</t>
        </r>
        <r>
          <rPr>
            <sz val="9"/>
            <color indexed="81"/>
            <rFont val="Tahoma"/>
            <family val="2"/>
          </rPr>
          <t xml:space="preserve">
</t>
        </r>
      </text>
    </comment>
    <comment ref="D36" authorId="0" shapeId="0" xr:uid="{4625B5ED-4F9E-4365-B66E-E874862DB636}">
      <text>
        <r>
          <rPr>
            <sz val="9"/>
            <color indexed="81"/>
            <rFont val="Tahoma"/>
            <family val="2"/>
          </rPr>
          <t xml:space="preserve">Do not need to review title in these States
- New York
- New Jersey
- Massachusetts
- Rhode Island
- Connecticut
- Pennsylvania
- Washington 
- California
- Michigan </t>
        </r>
        <r>
          <rPr>
            <b/>
            <sz val="9"/>
            <color indexed="81"/>
            <rFont val="Tahoma"/>
            <family val="2"/>
          </rPr>
          <t xml:space="preserve">
</t>
        </r>
        <r>
          <rPr>
            <sz val="9"/>
            <color indexed="81"/>
            <rFont val="Tahoma"/>
            <family val="2"/>
          </rPr>
          <t xml:space="preserve">
</t>
        </r>
      </text>
    </comment>
    <comment ref="B37" authorId="0" shapeId="0" xr:uid="{35EBF275-B233-4FB4-8DA8-304CAB8E7BB2}">
      <text>
        <r>
          <rPr>
            <sz val="9"/>
            <color indexed="81"/>
            <rFont val="Tahoma"/>
            <family val="2"/>
          </rPr>
          <t xml:space="preserve">A well water test is required for, but not limited to, Properties:
• that are newly constructed;
• where an Appraiser has reported deficiencies with a well or the well water;
• where water is reported to be unsafe or known to be unsafe;
• located in close proximity to dumps, landfills, industrial sites, farms (pesticides) or other sites that could contain hazardous wastes; or
• where the distance between the well and septic system is less than 100 feet.
</t>
        </r>
      </text>
    </comment>
    <comment ref="D37" authorId="0" shapeId="0" xr:uid="{0A7FE822-C4B6-4746-9B0E-80F00E801540}">
      <text>
        <r>
          <rPr>
            <sz val="9"/>
            <color indexed="81"/>
            <rFont val="Tahoma"/>
            <family val="2"/>
          </rPr>
          <t xml:space="preserve">o Enter down through screen to Date of Title Report and type in effective date from title commitment. Enter 90 days next to Title Effective Period, type in expiration date of title in the Expiration Date field, Home out. Expiration will then print on your Underwriting Terms and Conditions sheet on page 1.  
</t>
        </r>
      </text>
    </comment>
    <comment ref="E37" authorId="0" shapeId="0" xr:uid="{4F2B6043-6E62-46A8-817E-293565DDE125}">
      <text>
        <r>
          <rPr>
            <b/>
            <sz val="9"/>
            <color indexed="81"/>
            <rFont val="Tahoma"/>
            <family val="2"/>
          </rPr>
          <t>Troy Mcbrair:</t>
        </r>
        <r>
          <rPr>
            <sz val="9"/>
            <color indexed="81"/>
            <rFont val="Tahoma"/>
            <family val="2"/>
          </rPr>
          <t xml:space="preserve">
If refinancing the property &lt;12mo since the previous case number assignement, use the lessor of the purchase price or appraised value</t>
        </r>
      </text>
    </comment>
    <comment ref="K37" authorId="0" shapeId="0" xr:uid="{BECF9D78-4D1A-436E-AE49-E571464417C3}">
      <text>
        <r>
          <rPr>
            <b/>
            <sz val="9"/>
            <color indexed="81"/>
            <rFont val="Tahoma"/>
            <family val="2"/>
          </rPr>
          <t>Troy Mcbrair:</t>
        </r>
        <r>
          <rPr>
            <sz val="9"/>
            <color indexed="81"/>
            <rFont val="Tahoma"/>
            <family val="2"/>
          </rPr>
          <t xml:space="preserve">
2 Copies in Wholesale
1) Obsolete the broker findings. Only keep the FHC findings</t>
        </r>
      </text>
    </comment>
    <comment ref="M37" authorId="0" shapeId="0" xr:uid="{C4191707-1B2A-4460-874D-2A73C0187C31}">
      <text>
        <r>
          <rPr>
            <sz val="9"/>
            <color indexed="81"/>
            <rFont val="Tahoma"/>
            <family val="2"/>
          </rPr>
          <t xml:space="preserve">o Add Apprv/Disb Exp (date of first expiring doc, usually payoff on refinance loans)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o Review housing and debt ratio on this screen and compare against your manually calculated ratios to confirm accuracy. Check ratios against DU ratios also.
o Enter Max Debt Ratio allowed (round up to nearest percentage, unless already a high DTI)
o Check to be sure Cash Required to Close does not exceed Liquid Assets Available or you will need to add a condition for sufficient assets for funds to close.
o Max Interest Rate = interest rate to the right of Max Int Rate
o Max CLTV = CLTV Allowed by guidelines for pruchase
   -For rate/term, just put in the CLTV at what you underwrote the loan at, not the max per policy
o Max HCLTV= Most times is the same as the CLTV 
o # Fin Prop = # of properties borrower owns and is financed, including subject
o # Owned Prop = total # of properties owned (both financed and owned free &amp; clear, incl. subj)
o UW Rev Req = only used when Proposing Denial and submitting to mgr for 2nd review
o Max Limit: Purchases &amp; Refinances - Press Tab and complete Allowed column on left based on current information at time of review, review/update at each review of loan
o Note: Income/Debt/Asset fields in this screen show all information used to come up with the total when you Press Tab on each field (i.e. Press Tab under Total Verified Income and a pop-up will reflect all income used in the total)
</t>
        </r>
        <r>
          <rPr>
            <sz val="9"/>
            <color indexed="81"/>
            <rFont val="Tahoma"/>
            <family val="2"/>
          </rPr>
          <t xml:space="preserve">
</t>
        </r>
      </text>
    </comment>
    <comment ref="D38" authorId="0" shapeId="0" xr:uid="{1096DF08-2AC7-4A21-9032-BAE578072946}">
      <text>
        <r>
          <rPr>
            <sz val="9"/>
            <color indexed="81"/>
            <rFont val="Tahoma"/>
            <family val="2"/>
          </rPr>
          <t xml:space="preserve">The Mortgagee must review the appraisal to determine if the subject Property was sold within 12 months prior to the case number assignment date. If the subject Property was sold within the previous 12 months the Mortgagee must review evidence of prior ownership and determine if there are any undisclosed Identity-of-Interest transactions, and for compliance with Restrictions on Property Flipping.
</t>
        </r>
      </text>
    </comment>
    <comment ref="M38" authorId="0" shapeId="0" xr:uid="{793579BE-F237-4999-95BA-BF89F36F3F59}">
      <text>
        <r>
          <rPr>
            <sz val="9"/>
            <color indexed="81"/>
            <rFont val="Tahoma"/>
            <family val="2"/>
          </rPr>
          <t>Put the expiration date of the earliest doc on the right box(not blue/green) and count back 3 recicsion days from that, and that is the Apprv date
o Add Apprv/Disb Exp (date of first expiring doc, usually payoff on refinance loans or</t>
        </r>
        <r>
          <rPr>
            <u/>
            <sz val="9"/>
            <color indexed="81"/>
            <rFont val="Tahoma"/>
            <family val="2"/>
          </rPr>
          <t xml:space="preserve"> ANY other docs except the Settlement date</t>
        </r>
        <r>
          <rPr>
            <sz val="9"/>
            <color indexed="81"/>
            <rFont val="Tahoma"/>
            <family val="2"/>
          </rPr>
          <t xml:space="preserve">)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t>
        </r>
      </text>
    </comment>
    <comment ref="C39" authorId="0" shapeId="0" xr:uid="{F440D9B6-0686-4C34-BD4A-E425BD56E928}">
      <text>
        <r>
          <rPr>
            <sz val="9"/>
            <color indexed="81"/>
            <rFont val="Tahoma"/>
            <family val="2"/>
          </rPr>
          <t xml:space="preserve">Date of the Appraisal
</t>
        </r>
      </text>
    </comment>
    <comment ref="M39" authorId="0" shapeId="0" xr:uid="{CF6D4175-33CC-438C-97B8-B3DCEAFC238D}">
      <text>
        <r>
          <rPr>
            <sz val="9"/>
            <color indexed="81"/>
            <rFont val="Tahoma"/>
            <family val="2"/>
          </rPr>
          <t xml:space="preserve">Submit Investors
Make sure to run w/ credit button checked
</t>
        </r>
      </text>
    </comment>
    <comment ref="A40" authorId="0" shapeId="0" xr:uid="{518573F2-9AF0-4D57-B736-502FA4D33DCD}">
      <text>
        <r>
          <rPr>
            <b/>
            <sz val="9"/>
            <color indexed="81"/>
            <rFont val="Tahoma"/>
            <family val="2"/>
          </rPr>
          <t>1) Front and Rear at opposite angles
2) Improvements with Contributary Value not captured in the front of rear photo
3) Street Scene
4) Subject Grade and Drainage(new build only)
5) Grade of vacant lot(proposed new Build only)</t>
        </r>
        <r>
          <rPr>
            <sz val="9"/>
            <color indexed="81"/>
            <rFont val="Tahoma"/>
            <family val="2"/>
          </rPr>
          <t xml:space="preserve">
</t>
        </r>
      </text>
    </comment>
    <comment ref="C40" authorId="0" shapeId="0" xr:uid="{BC097670-D4BD-4F82-A945-F270059979C1}">
      <text>
        <r>
          <rPr>
            <sz val="9"/>
            <color indexed="81"/>
            <rFont val="Tahoma"/>
            <family val="2"/>
          </rPr>
          <t xml:space="preserve">Date of Appraisal Review
</t>
        </r>
      </text>
    </comment>
    <comment ref="D40" authorId="0" shapeId="0" xr:uid="{54FA07F6-FADC-497D-80BB-17C186FCB1ED}">
      <text>
        <r>
          <rPr>
            <sz val="9"/>
            <color indexed="81"/>
            <rFont val="Tahoma"/>
            <family val="2"/>
          </rPr>
          <t>Add a mineral rights TI transfering ownership of the Minderal rights</t>
        </r>
        <r>
          <rPr>
            <sz val="9"/>
            <color indexed="81"/>
            <rFont val="Tahoma"/>
            <family val="2"/>
          </rPr>
          <t xml:space="preserve">
</t>
        </r>
      </text>
    </comment>
    <comment ref="E40" authorId="0" shapeId="0" xr:uid="{F6E9E260-DB9C-4AB8-A2A2-47579C2B2F68}">
      <text>
        <r>
          <rPr>
            <sz val="9"/>
            <color indexed="81"/>
            <rFont val="Tahoma"/>
            <family val="2"/>
          </rPr>
          <t xml:space="preserve">#1: Tax Information
o Complete information from title or Tax Ccertification
o Select “N/A” for sections that do not apply (e.g. “City Tax”, “School Tax”)
o Press [Home]
#2: Escrow Data
o Update and/or verify Hazard Insurance and Flood Insurance
• Press [Enter] on applicable insurance and complete from the Insurance policy
 Hazard insurance, escrow disbursement date may be edited by pressing [Enter].
</t>
        </r>
      </text>
    </comment>
    <comment ref="A41" authorId="0" shapeId="0" xr:uid="{CAA1437E-E667-498A-B860-0B99BDC3CB4C}">
      <text>
        <r>
          <rPr>
            <sz val="9"/>
            <color indexed="81"/>
            <rFont val="Tahoma"/>
            <family val="2"/>
          </rPr>
          <t>1)Kitchen
2)Main Living Area
3)All baths
4)All Bedrooms
5)Basement/Attic/Crawlspace
6)Recent updates
7)Hallways, foyers, laundry room, common areas(2-4 units only)
8)Don’t Forget the Sketch!</t>
        </r>
      </text>
    </comment>
    <comment ref="B41" authorId="0" shapeId="0" xr:uid="{E15CB4EA-9635-40D4-ABC4-2710550FF15E}">
      <text>
        <r>
          <rPr>
            <sz val="9"/>
            <color indexed="81"/>
            <rFont val="Tahoma"/>
            <family val="2"/>
          </rPr>
          <t xml:space="preserve">Attachment Type
Constrcution Method
Project Design Type
Project Classification(if applicable)
Porject Attachment Type
Project Name
</t>
        </r>
      </text>
    </comment>
    <comment ref="K41" authorId="0" shapeId="0" xr:uid="{B9A62064-4664-4E51-BAAA-6C62A03B454E}">
      <text>
        <r>
          <rPr>
            <sz val="9"/>
            <color indexed="81"/>
            <rFont val="Tahoma"/>
            <family val="2"/>
          </rPr>
          <t xml:space="preserve">Make sure Rate/Term is &lt;$500.00
-Review FICO(&lt;500 not eligible)
-Review CLTV
</t>
        </r>
      </text>
    </comment>
    <comment ref="M41" authorId="0" shapeId="0" xr:uid="{415A88E1-B5D2-489E-B4C1-C6A5101816DE}">
      <text>
        <r>
          <rPr>
            <sz val="9"/>
            <color indexed="81"/>
            <rFont val="Tahoma"/>
            <family val="2"/>
          </rPr>
          <t xml:space="preserve">o Run, review entire report and clear any variances if applicable then re-run again to update score. </t>
        </r>
        <r>
          <rPr>
            <u/>
            <sz val="9"/>
            <color indexed="81"/>
            <rFont val="Tahoma"/>
            <family val="2"/>
          </rPr>
          <t>Be sure to run using “Order + Query” so report prints to EDMS.</t>
        </r>
        <r>
          <rPr>
            <sz val="9"/>
            <color indexed="81"/>
            <rFont val="Tahoma"/>
            <family val="2"/>
          </rPr>
          <t xml:space="preserve"> 
</t>
        </r>
      </text>
    </comment>
    <comment ref="A42" authorId="0" shapeId="0" xr:uid="{3C715829-46E2-4056-90A3-19D04A519642}">
      <text>
        <r>
          <rPr>
            <sz val="9"/>
            <color indexed="81"/>
            <rFont val="Tahoma"/>
            <family val="2"/>
          </rPr>
          <t>• head and shoulders inspection of the attic/crawlspace was performed
• All Utilities were on and in good working order
• Double straps on water heater(CA)
• home meets the minimum property requirements by HUD
• Appraisal was conducted for lender and HUD/FHA</t>
        </r>
        <r>
          <rPr>
            <b/>
            <sz val="9"/>
            <color indexed="81"/>
            <rFont val="Tahoma"/>
            <family val="2"/>
          </rPr>
          <t xml:space="preserve">
</t>
        </r>
        <r>
          <rPr>
            <sz val="9"/>
            <color indexed="81"/>
            <rFont val="Tahoma"/>
            <family val="2"/>
          </rPr>
          <t xml:space="preserve">
</t>
        </r>
      </text>
    </comment>
    <comment ref="D43" authorId="0" shapeId="0" xr:uid="{46EA7561-D14C-47EE-B56F-870D80353A0E}">
      <text>
        <r>
          <rPr>
            <sz val="9"/>
            <color indexed="81"/>
            <rFont val="Tahoma"/>
            <family val="2"/>
          </rPr>
          <t xml:space="preserve">(ii) Restriction on Resales Occurring 90 Days or Fewer After Acquisition
A Property that is being resold 90 Days or fewer following the seller’s date of acquisition is not eligible for an FHA-insured Mortgage.
(iii)Resales Occurring Between 91 Days and 180 Days After Acquisition
A Mortgagee must obtain a second appraisal by another Appraiser if:
• the resale date of a Property is between 91 and 180 Days following the acquisition of the Property by the seller; and
• the resale price is 100 percent or more over the price paid by the seller to acquire the Property.
</t>
        </r>
      </text>
    </comment>
    <comment ref="B44" authorId="0" shapeId="0" xr:uid="{6C8C3D94-64E6-4DFA-8C34-13E96546316C}">
      <text>
        <r>
          <rPr>
            <sz val="9"/>
            <color indexed="81"/>
            <rFont val="Tahoma"/>
            <family val="2"/>
          </rPr>
          <t>Check the sales comparison approach to see if there is any reference to sales concessions. Mark if they fall in the same range and if they warrant adjustments</t>
        </r>
        <r>
          <rPr>
            <sz val="9"/>
            <color indexed="81"/>
            <rFont val="Tahoma"/>
            <family val="2"/>
          </rPr>
          <t xml:space="preserve">
</t>
        </r>
      </text>
    </comment>
    <comment ref="C44" authorId="0" shapeId="0" xr:uid="{E8708E9D-AC82-4FCE-A1EB-259DE16521D0}">
      <text>
        <r>
          <rPr>
            <sz val="9"/>
            <color indexed="81"/>
            <rFont val="Tahoma"/>
            <family val="2"/>
          </rPr>
          <t xml:space="preserve">Sign the middle area next to the name
</t>
        </r>
      </text>
    </comment>
    <comment ref="A45" authorId="0" shapeId="0" xr:uid="{BBEC328B-3E0F-4C94-AB16-22DE05BAE6FA}">
      <text>
        <r>
          <rPr>
            <sz val="9"/>
            <color indexed="81"/>
            <rFont val="Tahoma"/>
            <family val="2"/>
          </rPr>
          <t xml:space="preserve">If Legal-NonConforming, appraiser to comment if it can be rebuilt
</t>
        </r>
      </text>
    </comment>
    <comment ref="C45" authorId="0" shapeId="0" xr:uid="{7B61AA8F-56EC-472B-B4C4-F2F386FCF402}">
      <text>
        <r>
          <rPr>
            <sz val="9"/>
            <color indexed="81"/>
            <rFont val="Tahoma"/>
            <family val="2"/>
          </rPr>
          <t xml:space="preserve">  When Appraisal review is completed:
o Enter Action Date; the date the review of the appraisal.
o Enter Commitment Issued date, the effective date of the appraisal.
o Enter Commitment Expires Date: 120 days from the effective date. (180 days New Const.)
o Check boxes the Conditional Commitment, Appr and High LTV boxes.
o Enter </t>
        </r>
        <r>
          <rPr>
            <b/>
            <sz val="9"/>
            <color indexed="81"/>
            <rFont val="Tahoma"/>
            <family val="2"/>
          </rPr>
          <t xml:space="preserve">No repairs required or List repairs </t>
        </r>
        <r>
          <rPr>
            <sz val="9"/>
            <color indexed="81"/>
            <rFont val="Tahoma"/>
            <family val="2"/>
          </rPr>
          <t>in the see indicated additional items on attached field
o Make sure you go all the way to the bottom – all blue needs to be completed.</t>
        </r>
        <r>
          <rPr>
            <b/>
            <sz val="9"/>
            <color indexed="81"/>
            <rFont val="Tahoma"/>
            <family val="2"/>
          </rPr>
          <t xml:space="preserve">
</t>
        </r>
        <r>
          <rPr>
            <sz val="9"/>
            <color indexed="81"/>
            <rFont val="Tahoma"/>
            <family val="2"/>
          </rPr>
          <t xml:space="preserve">
</t>
        </r>
      </text>
    </comment>
    <comment ref="D46" authorId="0" shapeId="0" xr:uid="{6805E4E0-6409-4978-90A9-A1C981B6D469}">
      <text>
        <r>
          <rPr>
            <sz val="9"/>
            <color indexed="81"/>
            <rFont val="Tahoma"/>
            <family val="2"/>
          </rPr>
          <t>The eligibility of a Property for a Mortgage insured by FHA is determined by the time that has elapsed between the date the seller has acquired title to the Property and the date of execution of the sales contract that will result in the FHA-insured Mortgage.
FHA defines the seller’s date of acquisition as the date the seller acquired legal ownership of that Property. FHA defines the resale date as the date of execution of the sales contract by all parties intending to finance the Property with an FHA-insured Mortgage.</t>
        </r>
        <r>
          <rPr>
            <sz val="9"/>
            <color indexed="81"/>
            <rFont val="Tahoma"/>
            <family val="2"/>
          </rPr>
          <t xml:space="preserve">
</t>
        </r>
      </text>
    </comment>
    <comment ref="M46" authorId="0" shapeId="0" xr:uid="{A1299A83-2FCD-455A-895D-A22B5EB808E4}">
      <text>
        <r>
          <rPr>
            <sz val="9"/>
            <color indexed="81"/>
            <rFont val="Tahoma"/>
            <family val="2"/>
          </rPr>
          <t xml:space="preserve">Review Streamline TI's
</t>
        </r>
      </text>
    </comment>
    <comment ref="B47" authorId="0" shapeId="0" xr:uid="{E42BF6A0-9E0B-4B67-9E44-518374261B78}">
      <text>
        <r>
          <rPr>
            <sz val="9"/>
            <color indexed="81"/>
            <rFont val="Tahoma"/>
            <family val="2"/>
          </rPr>
          <t xml:space="preserve">Original borrowers should match borrowers on new loan unless it meets requirements for adding/removing a borrower per Product Guide.
Match Application and FHA Connection to </t>
        </r>
        <r>
          <rPr>
            <u/>
            <sz val="9"/>
            <color indexed="81"/>
            <rFont val="Tahoma"/>
            <family val="2"/>
          </rPr>
          <t>Title</t>
        </r>
        <r>
          <rPr>
            <sz val="9"/>
            <color indexed="81"/>
            <rFont val="Tahoma"/>
            <family val="2"/>
          </rPr>
          <t xml:space="preserve">
</t>
        </r>
      </text>
    </comment>
    <comment ref="K47" authorId="0" shapeId="0" xr:uid="{3A0E8914-BCB8-44AF-B1CA-24AA9758A5B4}">
      <text>
        <r>
          <rPr>
            <sz val="9"/>
            <color indexed="81"/>
            <rFont val="Tahoma"/>
            <family val="2"/>
          </rPr>
          <t>Remove all self identifying info(DL/Passport) from documents except for I55 Greencard and other res alien info</t>
        </r>
        <r>
          <rPr>
            <sz val="9"/>
            <color indexed="81"/>
            <rFont val="Tahoma"/>
            <family val="2"/>
          </rPr>
          <t xml:space="preserve">
</t>
        </r>
      </text>
    </comment>
    <comment ref="A48" authorId="0" shapeId="0" xr:uid="{7B0842B3-1B15-42F2-AA55-7834B4634306}">
      <text>
        <r>
          <rPr>
            <sz val="9"/>
            <color indexed="81"/>
            <rFont val="Tahoma"/>
            <family val="2"/>
          </rPr>
          <t xml:space="preserve">New FHA Case Number with Refinance Authorization showing Freedom as originator or sponsor (wholesale).  New Case number cannot be assigned prior to the 1st of the month following 6 payments made, not including the month of closing.  Confirm accurate new and old Case #’s
are in Lakewood.
</t>
        </r>
      </text>
    </comment>
    <comment ref="B48" authorId="0" shapeId="0" xr:uid="{EE63E741-2228-492A-8E56-26B2F8144A32}">
      <text>
        <r>
          <rPr>
            <sz val="9"/>
            <color indexed="81"/>
            <rFont val="Tahoma"/>
            <family val="2"/>
          </rPr>
          <t xml:space="preserve">Add P&amp;I payment, interest rate and loan term to Lakewood in refinance screens.  Ensure present housing breaks out P&amp;I and MI for net tangible benefit.
</t>
        </r>
      </text>
    </comment>
    <comment ref="M48" authorId="0" shapeId="0" xr:uid="{2DAD6DA7-588B-49AF-9D6F-B8A87ADE638A}">
      <text>
        <r>
          <rPr>
            <sz val="9"/>
            <color indexed="81"/>
            <rFont val="Tahoma"/>
            <family val="2"/>
          </rPr>
          <t>• An Underwriting Terms and Conditions Form should be printed to EDMS and closely reviewed prior to setting a new Loan Status (every time). It is the last opportunity to correct any errors before the UTC is sent to the client. To print:
• Highlight “Print via Lakewood” and press [Enter].
• Change “Send to EDMS” to “Yes”, press [Enter] until new screen is shown.
• You will likely see a “Warning” regarding the loan being eligible for Docutech, press [Enter] at “OK”
•  Press the letter “U”, cursor will be on “Underwriting Terms &amp; Conditions”, press [Enter].
• A message saying “Send to EDMS Successful” will show. Press [Enter].
• Open up the loan in EDMS. If loan is already opened in EDMS, click on “Document Navigator” to refresh the screen.
• Open the “System Generated” Document Category and click on the Underwriting Terms and Conditions document (make sure it is the updated form).
• Review form. If needed, make revisions, reprint and review again.
• If satisfactory, set status.</t>
        </r>
        <r>
          <rPr>
            <b/>
            <sz val="9"/>
            <color indexed="81"/>
            <rFont val="Tahoma"/>
            <family val="2"/>
          </rPr>
          <t xml:space="preserve">
</t>
        </r>
        <r>
          <rPr>
            <sz val="9"/>
            <color indexed="81"/>
            <rFont val="Tahoma"/>
            <family val="2"/>
          </rPr>
          <t xml:space="preserve">
</t>
        </r>
      </text>
    </comment>
    <comment ref="A49" authorId="0" shapeId="0" xr:uid="{4D19E075-9352-48EE-8490-78C90ED58803}">
      <text>
        <r>
          <rPr>
            <sz val="9"/>
            <color indexed="81"/>
            <rFont val="Tahoma"/>
            <family val="2"/>
          </rPr>
          <t>If 2-4 unit Primary, one unit must be occupied by the borrower and HUD-92561 disclosure signed.
If 3-4 units, the loan must credit qualify and rent for all units must support the new PITIA 100%.  Reserves x 3 months PITIA are required. (And cannot be from gift funds).</t>
        </r>
      </text>
    </comment>
    <comment ref="B49" authorId="0" shapeId="0" xr:uid="{C40EB8DD-255C-41EA-A708-1AE2C88FA838}">
      <text>
        <r>
          <rPr>
            <b/>
            <sz val="9"/>
            <color indexed="81"/>
            <rFont val="Tahoma"/>
            <family val="2"/>
          </rPr>
          <t>Use FHA Connection for the following information!</t>
        </r>
        <r>
          <rPr>
            <sz val="9"/>
            <color indexed="81"/>
            <rFont val="Tahoma"/>
            <family val="2"/>
          </rPr>
          <t xml:space="preserve">
General Information Applicable to All Streamline Refinances
(a) Mortgage Seasoning Requirements
On the date of the FHA case number assignment:
• the Borrower must have made at least six payments on the FHA-insured Mortgage that is being refinanced;
• at least six full months must have passed since the first payment due date of the Mortgage that is being refinanced;
• at least 210 Days must have passed from the Closing Date of the Mortgage that is being refinanced; and
• if the Borrower assumed the Mortgage that is being refinanced, they must have made six payments since the time of assumption.
</t>
        </r>
      </text>
    </comment>
    <comment ref="C49" authorId="0" shapeId="0" xr:uid="{F966103A-56C1-4C71-A73D-10C2499DECC7}">
      <text>
        <r>
          <rPr>
            <sz val="9"/>
            <color indexed="81"/>
            <rFont val="Tahoma"/>
            <family val="2"/>
          </rPr>
          <t xml:space="preserve">Must have a Tangible benefit of  
1) at least 5% reduction in (P&amp;I + monthly MIP) payment for Fixed to Fixed, Fixed to Hybrid ARM, Hybrid ARM during fixed period to Fixed, ARM to ARM, GPM to Fixed or ARM, 203k to 203b, 235 to 203b. 
2) ARM to Fixed 
3) Hybrid ARM during adjustable period to Fixed, the new rate is not greater than 2% above the current rate.    Any decrease in term must meet the 5% reduction in payment requirements. (Decrease alone is not a benefit for a streamline and must be processed as a full doc rate/term).  
</t>
        </r>
      </text>
    </comment>
    <comment ref="M49" authorId="0" shapeId="0" xr:uid="{8246BF6E-44C2-403C-9D20-F0392FDC1EE6}">
      <text>
        <r>
          <rPr>
            <sz val="9"/>
            <color indexed="81"/>
            <rFont val="Tahoma"/>
            <family val="2"/>
          </rPr>
          <t xml:space="preserve">Press F5 any time in the loan review to get there
#2: Internal Underwriter Comments – UW adds review comments here
o The comments here do not print anywhere on the loan. UW should enter comments here to support the loan approval decision, appraisal review comments, or any other notes you want to have in the system. For Wholesale, this section is also where the CUS/Jr UW adds commentary.
Put appraisal notes, income notes, Compensating factors, Fraudgauard notes here for both TOTAL and Manual UW
</t>
        </r>
        <r>
          <rPr>
            <b/>
            <sz val="9"/>
            <color indexed="81"/>
            <rFont val="Tahoma"/>
            <family val="2"/>
          </rPr>
          <t xml:space="preserve">
</t>
        </r>
        <r>
          <rPr>
            <sz val="9"/>
            <color indexed="81"/>
            <rFont val="Tahoma"/>
            <family val="2"/>
          </rPr>
          <t xml:space="preserve">
</t>
        </r>
      </text>
    </comment>
    <comment ref="A50" authorId="0" shapeId="0" xr:uid="{A7BB16B3-B628-4347-9E64-76E9D3C9985E}">
      <text>
        <r>
          <rPr>
            <sz val="9"/>
            <color indexed="81"/>
            <rFont val="Tahoma"/>
            <family val="2"/>
          </rPr>
          <t xml:space="preserve">Copy of Social Security Card or other document evidencing each borrower’s social security number. 
</t>
        </r>
      </text>
    </comment>
    <comment ref="B50" authorId="0" shapeId="0" xr:uid="{D4A3CBFE-C4DF-4317-BD37-B5A981BDD364}">
      <text>
        <r>
          <rPr>
            <sz val="9"/>
            <color indexed="81"/>
            <rFont val="Tahoma"/>
            <family val="2"/>
          </rPr>
          <t xml:space="preserve">Mortgage payment history must show 0x30 in the last 12 months for all mortgages associated with the subject property.  A minimum of 6 payments must be made on current loan being paid off and there must be 7 months elapsed from original loan closing.  Rating or combination of rating/and payoff must show on time payments through the current month.  At least 210 days have passed from the closing date of the mortgage being refinanced.  Cr Supp Update required?
</t>
        </r>
      </text>
    </comment>
    <comment ref="C50" authorId="0" shapeId="0" xr:uid="{855971C6-0176-4CB4-ABEE-33B7AE0DE9F0}">
      <text>
        <r>
          <rPr>
            <sz val="9"/>
            <color indexed="81"/>
            <rFont val="Tahoma"/>
            <family val="2"/>
          </rPr>
          <t xml:space="preserve">Mortgage calculation: 
Principal balance + interest on payoff (up to 2 months) – MIP refund + New UFMIP (ensure any interest paid or new UFMIP paid by over par pricing is not included in your new mortgage amount calculation); 
2nd or Investment = Unpaid principal balance minus MIP refund + New UFMIP only. (May not include interest due on the existing loan).
</t>
        </r>
      </text>
    </comment>
    <comment ref="M50" authorId="0" shapeId="0" xr:uid="{A7C14A0A-8AFE-41CE-BBE8-C5EA97D53BAD}">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A51" authorId="0" shapeId="0" xr:uid="{143036BD-C4E8-4260-8ED0-B2F23806E2F8}">
      <text>
        <r>
          <rPr>
            <sz val="9"/>
            <color indexed="81"/>
            <rFont val="Tahoma"/>
            <family val="2"/>
          </rPr>
          <t>For FMC to FMC Non-Credit Qualifying: Credit scores are not required to be reported (not applicable to Manufactured Homes)
For FMC to FMC Credit Qualifying: Minimum 550 representative credit score for each borrower on both Standard and Jumbo transactions.
For non-FMC to FMC, both Credit and Non-Credit Qualifying: Minimum 600 representative credit score for each borrower on both Standard and Jumbo transactions.
Full Tri-merged credit report is required for Credit Qualifying Streamlines
Manufactured Housing:
Minimum 640 representative credit score for each borrower</t>
        </r>
      </text>
    </comment>
    <comment ref="B51" authorId="0" shapeId="0" xr:uid="{38E5A7F5-8D0A-46E1-8E5C-6F4B826394BB}">
      <text>
        <r>
          <rPr>
            <sz val="9"/>
            <color indexed="81"/>
            <rFont val="Tahoma"/>
            <family val="2"/>
          </rPr>
          <t xml:space="preserve">Current Existing loan +12yr 
OR 
360mo
</t>
        </r>
      </text>
    </comment>
    <comment ref="M51" authorId="0" shapeId="0" xr:uid="{919A7AA3-93BB-466C-998D-C2D482AD57D0}">
      <text>
        <r>
          <rPr>
            <sz val="9"/>
            <color indexed="81"/>
            <rFont val="Tahoma"/>
            <family val="2"/>
          </rPr>
          <t>#6:  General Text &amp; Other Comments – UWs add Income Calculation comments here
o #3:   Transmittal Comments-Conv Full Doc Loans
o #7:   VA Loan Analysis Comments
o #11: Mort Cred Analysis-FHA (USE THIS ONE)
o #27: Hold Harmless Agreement-Disaster Area
For Total loans, put compensating factors here in additiont to income notes</t>
        </r>
      </text>
    </comment>
    <comment ref="A52" authorId="0" shapeId="0" xr:uid="{A9E862CE-1525-44AF-AEE0-18B7006E50C3}">
      <text>
        <r>
          <rPr>
            <sz val="9"/>
            <color indexed="81"/>
            <rFont val="Tahoma"/>
            <family val="2"/>
          </rPr>
          <t xml:space="preserve">Any open liens/judgments or defaulted student loans, must be paid off prior to final approval.
</t>
        </r>
      </text>
    </comment>
    <comment ref="C53" authorId="0" shapeId="0" xr:uid="{FE7BB41E-6984-448F-A4A9-ED9C19F22C1E}">
      <text>
        <r>
          <rPr>
            <sz val="9"/>
            <color indexed="81"/>
            <rFont val="Tahoma"/>
            <family val="2"/>
          </rPr>
          <t>Initial disclosures/requirements: Borrower’s cert and Auth / ECOA/ Servicing / Patriot Act / Unexpired Photo ID / Credit Fact Act / Verif of Phone #’s / Mortgage LO disclosure / Anti-Steering (n/a mini-C) / Broker &amp; LO Licenses from NMLS.</t>
        </r>
        <r>
          <rPr>
            <sz val="9"/>
            <color indexed="81"/>
            <rFont val="Tahoma"/>
            <family val="2"/>
          </rPr>
          <t xml:space="preserve">
</t>
        </r>
      </text>
    </comment>
    <comment ref="K54" authorId="0" shapeId="0" xr:uid="{61E481A0-E39F-46D2-8723-2AE2C3592AD2}">
      <text>
        <r>
          <rPr>
            <sz val="9"/>
            <color indexed="81"/>
            <rFont val="Tahoma"/>
            <family val="2"/>
          </rPr>
          <t>Should be "none" unless there is a special loan product</t>
        </r>
        <r>
          <rPr>
            <sz val="9"/>
            <color indexed="81"/>
            <rFont val="Tahoma"/>
            <family val="2"/>
          </rPr>
          <t xml:space="preserve">
</t>
        </r>
      </text>
    </comment>
    <comment ref="K55" authorId="0" shapeId="0" xr:uid="{EE7C5635-26B5-42F0-B4F4-8714658DD00A}">
      <text>
        <r>
          <rPr>
            <sz val="9"/>
            <color indexed="81"/>
            <rFont val="Tahoma"/>
            <family val="2"/>
          </rPr>
          <t xml:space="preserve">Full Doc
HOPE
Prior FHA Refinance
Steamline w/ Appraisal
Streamline w/o Appraisal
</t>
        </r>
      </text>
    </comment>
    <comment ref="K56" authorId="0" shapeId="0" xr:uid="{3F95E50E-33A7-40A3-BB50-E2218C568CC2}">
      <text>
        <r>
          <rPr>
            <sz val="9"/>
            <color indexed="81"/>
            <rFont val="Tahoma"/>
            <family val="2"/>
          </rPr>
          <t xml:space="preserve">o Be sure Street Name is just the street and the Street Direction &amp; Type are on their own line or you will get an error when running address validation.
o If changes are made to the county in this screen you will need to re-enter the taxes on the tax screen.
o Property address should be checked against address on Title or other third-party documentation
</t>
        </r>
      </text>
    </comment>
    <comment ref="K57" authorId="0" shapeId="0" xr:uid="{ED37E083-796B-4083-827A-CF4FDC173975}">
      <text>
        <r>
          <rPr>
            <sz val="9"/>
            <color indexed="81"/>
            <rFont val="Tahoma"/>
            <family val="2"/>
          </rPr>
          <t>**ignore on initial review if there is no appraisal on file**
Check Property Type ((tab for pop-up to select property Type) Single Family, Condominium, Co-Op, 2-4 Family, Condo – Hotel, Modular Home, Mobile Home, Detached Condo.
• Manufactured Homes- Need Make, Model # and VIN#.
• PUDs: Note for FHA – do not select FNMA or FHLMC ProjClas. Press home to 
skip over this section, if selected you will receive a hard stop. 
Gov’t Housing Type (Attached, Detached or Semi Detached).
Number of Units. 
Tab for popup to select the number of residential units (Bedroom count will be added to this section and validation source). Gross Rent if applicable (2-4 unit).
Year Built. 
Screen pop up: add/ verify Gross Living Area &amp; Lot Size.(Use Appraisal for this if on file)
Lien Type: Enter Lien Type
Property Cash Flow – Used for 2–4 unit with rental income, skip if N/A (positive income &gt; enter amt, losses &gt; enter as negative amt).</t>
        </r>
        <r>
          <rPr>
            <b/>
            <sz val="9"/>
            <color indexed="81"/>
            <rFont val="Tahoma"/>
            <family val="2"/>
          </rPr>
          <t xml:space="preserve">
</t>
        </r>
        <r>
          <rPr>
            <sz val="9"/>
            <color indexed="81"/>
            <rFont val="Tahoma"/>
            <family val="2"/>
          </rPr>
          <t xml:space="preserve">
</t>
        </r>
      </text>
    </comment>
    <comment ref="K58" authorId="0" shapeId="0" xr:uid="{29D5C7C4-010B-42F5-9305-822BDB116C7F}">
      <text>
        <r>
          <rPr>
            <sz val="9"/>
            <color indexed="81"/>
            <rFont val="Tahoma"/>
            <family val="2"/>
          </rPr>
          <t>o Run at initial UW, correct any errors (if applicable) in the Subject Property Address screen.
o If previously run - Press [Insert] and then press [Enter] on “Yes”.</t>
        </r>
        <r>
          <rPr>
            <b/>
            <sz val="9"/>
            <color indexed="81"/>
            <rFont val="Tahoma"/>
            <family val="2"/>
          </rPr>
          <t xml:space="preserve">
</t>
        </r>
        <r>
          <rPr>
            <sz val="9"/>
            <color indexed="81"/>
            <rFont val="Tahoma"/>
            <family val="2"/>
          </rPr>
          <t xml:space="preserve">
</t>
        </r>
      </text>
    </comment>
    <comment ref="K59" authorId="0" shapeId="0" xr:uid="{E393C7EB-DAA1-440F-AD78-16E3139CE636}">
      <text>
        <r>
          <rPr>
            <sz val="9"/>
            <color indexed="81"/>
            <rFont val="Tahoma"/>
            <family val="2"/>
          </rPr>
          <t xml:space="preserve">Obtain non-borrowing spouse credit report to include all debts
-Need Non-Borrowering Spouse consent form(consent to verify SSN w/ 1098SSA)
-Not submitted to Total Scorecard
Louisiana, Arizona, California, Texas, Washington, Idaho, Nevada, New Mexico, and Wisconsin
Client Info&gt;Additional Borrower info&gt;Additional personal Info. This will show Yes or No. </t>
        </r>
      </text>
    </comment>
    <comment ref="K60" authorId="0" shapeId="0" xr:uid="{0CF9E066-58A0-4307-B921-FD888C572684}">
      <text>
        <r>
          <rPr>
            <sz val="9"/>
            <color indexed="81"/>
            <rFont val="Tahoma"/>
            <family val="2"/>
          </rPr>
          <t xml:space="preserve">o For Purchases, Loan Purpose will either show as a Purchase, or Prequalification.
o Loan purpose field opens to Refinance Loan Info screen when Purpose type is Refinance.
    • Refinance Loan Info.
         -Enter or verify Information against documentation in loan file.
         -Original Cost. (sale price of when they purchased the home)
         -Previous Loan Type. (**DO NOT NEED prev investor info**)
         -Purpose of Refinance.
         -Original Mortgage Amount        
         -Original P&amp;I.          
         -Original Amortization.           
         -Refi with Original Creditor? FMC to FMC = Yes (check title).
         -Original Rate.
         -Next Change Date (if current loan is an ARM).
</t>
        </r>
      </text>
    </comment>
    <comment ref="M60" authorId="0" shapeId="0" xr:uid="{D32CB986-3F97-4860-8001-5E390E84585A}">
      <text>
        <r>
          <rPr>
            <sz val="9"/>
            <color indexed="81"/>
            <rFont val="Tahoma"/>
            <family val="2"/>
          </rPr>
          <t xml:space="preserve">Total = ZFHA
Manual = Chums
</t>
        </r>
      </text>
    </comment>
    <comment ref="M61" authorId="0" shapeId="0" xr:uid="{07961E8B-1840-4AD5-ACAF-B7597F6851CC}">
      <text>
        <r>
          <rPr>
            <sz val="9"/>
            <color indexed="81"/>
            <rFont val="Tahoma"/>
            <family val="2"/>
          </rPr>
          <t>Underwriting&gt;Print Loan Docs&gt;Print Via Docutech&gt;Ad-Hoc Underwriting</t>
        </r>
        <r>
          <rPr>
            <sz val="9"/>
            <color indexed="81"/>
            <rFont val="Tahoma"/>
            <family val="2"/>
          </rPr>
          <t xml:space="preserve">
</t>
        </r>
      </text>
    </comment>
    <comment ref="M62" authorId="0" shapeId="0" xr:uid="{3CA79092-7F2E-4010-B752-6B9447152308}">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K64" authorId="0" shapeId="0" xr:uid="{EEDD2F87-248A-4FCE-8A06-E4FDE24FDFA0}">
      <text>
        <r>
          <rPr>
            <sz val="9"/>
            <color indexed="81"/>
            <rFont val="Tahoma"/>
            <family val="2"/>
          </rPr>
          <t xml:space="preserve">Used for downpayments
If there is ever a gift, it </t>
        </r>
        <r>
          <rPr>
            <u/>
            <sz val="9"/>
            <color indexed="81"/>
            <rFont val="Tahoma"/>
            <family val="2"/>
          </rPr>
          <t>MUST</t>
        </r>
        <r>
          <rPr>
            <sz val="9"/>
            <color indexed="81"/>
            <rFont val="Tahoma"/>
            <family val="2"/>
          </rPr>
          <t xml:space="preserve"> be entered on this screen
Press Insert to Enter Additional Source
-FHA-Gift-Source-Relative
If receiving a gift, Funds Source will always be gift and the full amount of the gift will be listed. Then when you get to assets, if the gift has already been deposited just enter the Borrower&gt;Checking/Savings account as normal and keep FHA gift funds as is as the system will back out the funds automatically.</t>
        </r>
      </text>
    </comment>
    <comment ref="K65" authorId="0" shapeId="0" xr:uid="{CF57C417-C806-49E5-838B-081F24FAF1FF}">
      <text>
        <r>
          <rPr>
            <sz val="9"/>
            <color indexed="81"/>
            <rFont val="Tahoma"/>
            <family val="2"/>
          </rPr>
          <t>o Inter Vivos Revocable Trust – Change to Yes if closing in Trust (must have Trust verbiage to complete. If information not yet available, leave as No).</t>
        </r>
        <r>
          <rPr>
            <sz val="9"/>
            <color indexed="81"/>
            <rFont val="Tahoma"/>
            <family val="2"/>
          </rPr>
          <t xml:space="preserve">
</t>
        </r>
      </text>
    </comment>
    <comment ref="K70" authorId="0" shapeId="0" xr:uid="{88DCBFBE-0479-41BC-94F6-4F3D3BDA589C}">
      <text>
        <r>
          <rPr>
            <sz val="9"/>
            <color indexed="81"/>
            <rFont val="Tahoma"/>
            <family val="2"/>
          </rPr>
          <t>Accessed if there is an escrow credit on the Payoff or seller paid fees must be allocated.
Previous Escrow Credit(This is when the seller contributions EXCEEDS either the 6% product max, or the Closing Cost+Estimated Prepaids
o Press [Insert] and select “214 Previous Escrows credit”, press [Enter]
o Enter amount of escrow credit shown on Payoff at “Buyer” under “PAC”, Press [Home]
o Make sure amount is shown for “Third Party” under “PAC” (enter if needed)
o Press [Home] until you return to “Registration / Underwriting” menu
Allocate Fees (initial underwrite of purchase transaction with seller pad fees) - COMPLETE
Seller paid contributions cannot exceed Closing cost(est)+Estimated Prepaid Items(which both are located on the Details of Transaction Screen)</t>
        </r>
      </text>
    </comment>
    <comment ref="K71" authorId="0" shapeId="0" xr:uid="{DA680D6C-40BB-41AE-80A8-A95F417FD49D}">
      <text>
        <r>
          <rPr>
            <sz val="9"/>
            <color indexed="81"/>
            <rFont val="Tahoma"/>
            <family val="2"/>
          </rPr>
          <t>o Review “Other Credits” field
o Press [Enter] through screen down to “Other Credits”, Press [Tab]
o If a dollar amount is listed, remove unless specifically instructed to include it
o To remove, press [Enter] until the cursor is on the dollar amount, change figure to $0.00</t>
        </r>
        <r>
          <rPr>
            <b/>
            <sz val="9"/>
            <color indexed="81"/>
            <rFont val="Tahoma"/>
            <family val="2"/>
          </rPr>
          <t xml:space="preserve">
</t>
        </r>
        <r>
          <rPr>
            <sz val="9"/>
            <color indexed="81"/>
            <rFont val="Tahoma"/>
            <family val="2"/>
          </rPr>
          <t xml:space="preserve">
</t>
        </r>
      </text>
    </comment>
    <comment ref="K72" authorId="0" shapeId="0" xr:uid="{EDE6789F-56D4-42D3-9964-A4A1F46DF64F}">
      <text>
        <r>
          <rPr>
            <sz val="9"/>
            <color indexed="81"/>
            <rFont val="Tahoma"/>
            <family val="2"/>
          </rPr>
          <t xml:space="preserve">Proposed Housing Exp
</t>
        </r>
      </text>
    </comment>
    <comment ref="K77" authorId="0" shapeId="0" xr:uid="{E08EB854-4AC5-4DDE-AD36-A3D2EDDDAD17}">
      <text>
        <r>
          <rPr>
            <sz val="9"/>
            <color indexed="81"/>
            <rFont val="Tahoma"/>
            <family val="2"/>
          </rPr>
          <t xml:space="preserve">if there is an error (shows in red) you will need to fix it in one of the screens in #13 FHA Information.
</t>
        </r>
      </text>
    </comment>
    <comment ref="K78" authorId="0" shapeId="0" xr:uid="{587E8211-8096-4864-A560-1FDA8BBBFC3D}">
      <text>
        <r>
          <rPr>
            <sz val="9"/>
            <color indexed="81"/>
            <rFont val="Tahoma"/>
            <family val="2"/>
          </rPr>
          <t>o Update Additional Conditions-tab in to answer yes to #7 unless investment then #5 is yes then home out (for refinances). Answer yes to appropriate questions if purchase New Construction.
-First 4 options are for new contruction
-#5 is for investments
Most times everything will be "N" except for #7</t>
        </r>
      </text>
    </comment>
    <comment ref="K79" authorId="0" shapeId="0" xr:uid="{847E0D1C-A7A1-423D-93FC-9D13F1D47BC4}">
      <text>
        <r>
          <rPr>
            <sz val="9"/>
            <color indexed="81"/>
            <rFont val="Tahoma"/>
            <family val="2"/>
          </rPr>
          <t xml:space="preserve">o Select borrower (repeat for co-borrower if applicable)
#1 Credit Alert Number
 Verify acceptable CAIVRS number 
</t>
        </r>
      </text>
    </comment>
    <comment ref="K80" authorId="0" shapeId="0" xr:uid="{F228B53E-B9BB-47B5-948A-94DC280CBE64}">
      <text>
        <r>
          <rPr>
            <sz val="9"/>
            <color indexed="81"/>
            <rFont val="Tahoma"/>
            <family val="2"/>
          </rPr>
          <t xml:space="preserve">Lead Paint Disclosure
</t>
        </r>
      </text>
    </comment>
    <comment ref="K81" authorId="0" shapeId="0" xr:uid="{52FC3A81-524C-4554-90A7-AEA501A53C29}">
      <text>
        <r>
          <rPr>
            <sz val="9"/>
            <color indexed="81"/>
            <rFont val="Tahoma"/>
            <family val="2"/>
          </rPr>
          <t xml:space="preserve">Run #10 Refi Authorization on FHA Information Screen before completing these screens)
 #1 Refinance Loan Information
o Information listed is for current existing loan being refinanced
o If information is missing, complete fields by using documentation in loan file (i.e., Mortgage Note, Mortgage Statement, Case Query on existing loan)
#2 FHA MIP Refund
o Additional information for existing loan being refinanced
o First Payment Date
o MIP Refund from Refinance Authorization
</t>
        </r>
        <r>
          <rPr>
            <sz val="9"/>
            <color indexed="81"/>
            <rFont val="Tahoma"/>
            <family val="2"/>
          </rPr>
          <t xml:space="preserve">
</t>
        </r>
      </text>
    </comment>
    <comment ref="K82" authorId="0" shapeId="0" xr:uid="{067CE59D-31C6-4A39-9F80-27B5D6E41BF2}">
      <text>
        <r>
          <rPr>
            <sz val="9"/>
            <color indexed="81"/>
            <rFont val="Tahoma"/>
            <family val="2"/>
          </rPr>
          <t xml:space="preserve">FHA Max Mortgage Information (FHA-to-FHA Refinances only – e.g. Streamlines)
• Information carries over from the REO Payoff screen
• Verify </t>
        </r>
        <r>
          <rPr>
            <u/>
            <sz val="9"/>
            <color indexed="81"/>
            <rFont val="Tahoma"/>
            <family val="2"/>
          </rPr>
          <t>Actual Base Amount is between Min Base and Max Base Amount</t>
        </r>
        <r>
          <rPr>
            <sz val="9"/>
            <color indexed="81"/>
            <rFont val="Tahoma"/>
            <family val="2"/>
          </rPr>
          <t xml:space="preserve"> &amp; do not use cents.
• If you need to change the loan amount (Streamlines) you can arrow down to Actual Base Loan Amount and Tab to bring you into the Mortgage Type/Loan Terms screen and you can change your loan amount there.  If you do make a change at this point in your review be sure to Control P to reset UFMIP for new loan amount. You can then press HOME and it will bring you back to government screen.
    ***Make sure to CNTRL+P if changing loan amounts***
</t>
        </r>
      </text>
    </comment>
    <comment ref="K83" authorId="0" shapeId="0" xr:uid="{D51A2BBE-C55F-49B8-942B-9D1433A5565A}">
      <text>
        <r>
          <rPr>
            <sz val="9"/>
            <color indexed="81"/>
            <rFont val="Tahoma"/>
            <family val="2"/>
          </rPr>
          <t xml:space="preserve">Verify that it reports Success. 
</t>
        </r>
      </text>
    </comment>
    <comment ref="K84" authorId="0" shapeId="0" xr:uid="{86490FEB-36EE-46DD-B666-4509B7B412B6}">
      <text>
        <r>
          <rPr>
            <sz val="9"/>
            <color indexed="81"/>
            <rFont val="Tahoma"/>
            <family val="2"/>
          </rPr>
          <t xml:space="preserve">o Verify CAIVRS shows Status of SuccessNoUpdate
o CAIVRS is </t>
        </r>
        <r>
          <rPr>
            <u/>
            <sz val="9"/>
            <color indexed="81"/>
            <rFont val="Tahoma"/>
            <family val="2"/>
          </rPr>
          <t>not rerun</t>
        </r>
        <r>
          <rPr>
            <sz val="9"/>
            <color indexed="81"/>
            <rFont val="Tahoma"/>
            <family val="2"/>
          </rPr>
          <t xml:space="preserve"> throughout loan process but should be rerun at Final Approval by pressing Insert
• When loan is Final Approved, the CAIVRS record automatically indexes as a document in EDMS
</t>
        </r>
      </text>
    </comment>
    <comment ref="K85" authorId="0" shapeId="0" xr:uid="{DCF15078-1620-42DF-B8A0-DB8DE2990BD9}">
      <text>
        <r>
          <rPr>
            <sz val="9"/>
            <color indexed="81"/>
            <rFont val="Tahoma"/>
            <family val="2"/>
          </rPr>
          <t>: Case Query-run every time you touch file (initial and resubs)
o Insert to Run, Press Enter  
o Status of SUCCESS needed, if Status returns Invalid Data, Press Enter to review reasons for Invalid Data Status
o Review Results for any messages, warnings, confirm MIP factors are correct
o Potential warnings that may appear include Originator or Sponsor ID on FHA Case assignment does not match Lakewood &amp; must be corrected. Another warning may be FHA Case Assignment was received (ordered) prior to application date which would require additional information or explanation to correct.</t>
        </r>
        <r>
          <rPr>
            <b/>
            <sz val="9"/>
            <color indexed="81"/>
            <rFont val="Tahoma"/>
            <family val="2"/>
          </rPr>
          <t xml:space="preserve">
</t>
        </r>
      </text>
    </comment>
    <comment ref="K86" authorId="0" shapeId="0" xr:uid="{0DF1BC1E-3057-43A1-8E80-DE826D0CCE0B}">
      <text>
        <r>
          <rPr>
            <sz val="9"/>
            <color indexed="81"/>
            <rFont val="Tahoma"/>
            <family val="2"/>
          </rPr>
          <t xml:space="preserve">verify info every time you touch file (refinances only)
o Insert
o Run for month closing (ex. Loan closing in May so Refinance Authorization should have May as 1st date).
o Make sure there is a SUCCESS rating
Unearned is what has not yet been paid to HUD yet
</t>
        </r>
        <r>
          <rPr>
            <b/>
            <sz val="9"/>
            <color indexed="81"/>
            <rFont val="Tahoma"/>
            <family val="2"/>
          </rPr>
          <t xml:space="preserve">
</t>
        </r>
        <r>
          <rPr>
            <sz val="9"/>
            <color indexed="81"/>
            <rFont val="Tahoma"/>
            <family val="2"/>
          </rPr>
          <t xml:space="preserve">
</t>
        </r>
      </text>
    </comment>
    <comment ref="K87" authorId="0" shapeId="0" xr:uid="{A196AA3E-8386-4EF2-A8B0-F68EAD085E96}">
      <text>
        <r>
          <rPr>
            <sz val="9"/>
            <color indexed="81"/>
            <rFont val="Tahoma"/>
            <family val="2"/>
          </rPr>
          <t>run every time you touch file
o Insert
o Select YES &amp; YES       
o Tells you if more than one case # is open for borrower</t>
        </r>
        <r>
          <rPr>
            <b/>
            <sz val="9"/>
            <color indexed="81"/>
            <rFont val="Tahoma"/>
            <family val="2"/>
          </rPr>
          <t xml:space="preserve">
</t>
        </r>
        <r>
          <rPr>
            <sz val="9"/>
            <color indexed="81"/>
            <rFont val="Tahoma"/>
            <family val="2"/>
          </rPr>
          <t xml:space="preserve">
</t>
        </r>
      </text>
    </comment>
    <comment ref="K88" authorId="0" shapeId="0" xr:uid="{165E3F7D-409D-4827-AA81-379D7ACD8062}">
      <text>
        <r>
          <rPr>
            <sz val="9"/>
            <color indexed="81"/>
            <rFont val="Tahoma"/>
            <family val="2"/>
          </rPr>
          <t xml:space="preserve">o Update and/or verify Hazard Insurance and Flood Insurance
• Press [Enter] on applicable insurance and complete from the Insurance policy
 Hazard insurance, escrow disbursement date may be edited by pressing [Enter]. Disbursement date is expiration date of current policy. </t>
        </r>
        <r>
          <rPr>
            <b/>
            <sz val="9"/>
            <color indexed="81"/>
            <rFont val="Tahoma"/>
            <family val="2"/>
          </rPr>
          <t xml:space="preserve">
</t>
        </r>
        <r>
          <rPr>
            <sz val="9"/>
            <color indexed="81"/>
            <rFont val="Tahoma"/>
            <family val="2"/>
          </rPr>
          <t xml:space="preserve">
</t>
        </r>
      </text>
    </comment>
    <comment ref="K89" authorId="0" shapeId="0" xr:uid="{30ED5FBC-9D53-4EC8-BF39-6F129FCBB1A5}">
      <text>
        <r>
          <rPr>
            <sz val="9"/>
            <color indexed="81"/>
            <rFont val="Tahoma"/>
            <family val="2"/>
          </rPr>
          <t>Anticipated Closing Date - Use the purchase agreement date - Only thing we need to update on this screen unless there is a financing contingency date
o Estimated Market Value used for qualifying is listed in this screen. Do not change.
Appraisal Value Section:
o Appraised Value – NOTE: This screen can also be accessed through Appraisal Information screen.
• Press [Tab], press [Enter] Appraisal Detail screen will appear.
• Enter or verify the following fields using appraisal. 
Priority (Must use Priority 001) Appraised Value
Lot Value (if provided) Replacement Value (if provided)
Appraisal Co Mgmt. Co (Appraisal Management Company)
Appraiser Name Appraiser Zip
Appraisal Date Document Reference (press [Tab], enter EAD information 
Appraisal License# Lender Name
Appraisal Type Approved By / Approval Date (underwriter, review date)
• The Approved By field must be the Underwriter completing the Conditional Commitment.
o Press [Home] repeatedly until back to Loan Information Screen.
o Anticipated Closing Date/Scheduled Disbursement Date.</t>
        </r>
        <r>
          <rPr>
            <b/>
            <sz val="9"/>
            <color indexed="81"/>
            <rFont val="Tahoma"/>
            <family val="2"/>
          </rPr>
          <t xml:space="preserve"> **make sure both Anticipated Closing date &amp; Scheduled Closing are entered**</t>
        </r>
        <r>
          <rPr>
            <sz val="9"/>
            <color indexed="81"/>
            <rFont val="Tahoma"/>
            <family val="2"/>
          </rPr>
          <t xml:space="preserve">
o Collect Mtg. Insurance = Yes. Press [Enter].
• Opens to MI Tables screen.
 Verify correct plan has been selected based on FHA Case Assignment date and loan amount. Correct if needed.</t>
        </r>
        <r>
          <rPr>
            <b/>
            <sz val="9"/>
            <color indexed="81"/>
            <rFont val="Tahoma"/>
            <family val="2"/>
          </rPr>
          <t xml:space="preserve">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Troy Mcbrair</author>
    <author>Troy McBrair</author>
  </authors>
  <commentList>
    <comment ref="C4" authorId="0" shapeId="0" xr:uid="{347AF0E5-6336-4FA2-8992-5E1187956DB2}">
      <text>
        <r>
          <rPr>
            <b/>
            <sz val="9"/>
            <color indexed="81"/>
            <rFont val="Tahoma"/>
            <family val="2"/>
          </rPr>
          <t>Date which the broker/banker submits the app</t>
        </r>
        <r>
          <rPr>
            <sz val="9"/>
            <color indexed="81"/>
            <rFont val="Tahoma"/>
            <family val="2"/>
          </rPr>
          <t xml:space="preserve">
</t>
        </r>
      </text>
    </comment>
    <comment ref="A8" authorId="0" shapeId="0" xr:uid="{5E8977DD-D087-4FCE-856A-6B94850D4E16}">
      <text>
        <r>
          <rPr>
            <sz val="9"/>
            <color indexed="81"/>
            <rFont val="Tahoma"/>
            <family val="2"/>
          </rPr>
          <t>Review who's seen the loan and what is going on</t>
        </r>
        <r>
          <rPr>
            <sz val="9"/>
            <color indexed="81"/>
            <rFont val="Tahoma"/>
            <family val="2"/>
          </rPr>
          <t xml:space="preserve">
</t>
        </r>
      </text>
    </comment>
    <comment ref="C8" authorId="1" shapeId="0" xr:uid="{071D192B-2C8C-4896-9A91-BB06885B57F6}">
      <text>
        <r>
          <rPr>
            <sz val="9"/>
            <color indexed="81"/>
            <rFont val="Tahoma"/>
            <family val="2"/>
          </rPr>
          <t xml:space="preserve">Gaps &gt;6mo no longer required to be analyzed
</t>
        </r>
      </text>
    </comment>
    <comment ref="D8" authorId="1" shapeId="0" xr:uid="{A3A65773-601C-4802-B4B2-817D5689A75F}">
      <text>
        <r>
          <rPr>
            <sz val="9"/>
            <color indexed="81"/>
            <rFont val="Tahoma"/>
            <family val="2"/>
          </rPr>
          <t xml:space="preserve">Review Roll in Closing Cost Preferences
If they choose no, than we would have assets
If they choose Yes, than we would not need to review assets
If cust elected to roll in closing costs and assets are still required
1)Internal Tasks under Assets
2)Custom
3)Checkbox to Acknowledge
4)Inbound
5)“Please acknowledge borrower has elected to roll in closing costs, please adjust loan amount”
</t>
        </r>
        <r>
          <rPr>
            <sz val="9"/>
            <color indexed="81"/>
            <rFont val="Tahoma"/>
            <family val="2"/>
          </rPr>
          <t xml:space="preserve">
</t>
        </r>
      </text>
    </comment>
    <comment ref="G8" authorId="1" shapeId="0" xr:uid="{010CDB44-B018-466C-A203-00E75BB48ADE}">
      <text>
        <r>
          <rPr>
            <sz val="9"/>
            <color indexed="81"/>
            <rFont val="Tahoma"/>
            <family val="2"/>
          </rPr>
          <t>Conventional Input Form</t>
        </r>
        <r>
          <rPr>
            <sz val="9"/>
            <color indexed="81"/>
            <rFont val="Tahoma"/>
            <family val="2"/>
          </rPr>
          <t xml:space="preserve">
</t>
        </r>
      </text>
    </comment>
    <comment ref="F9" authorId="1" shapeId="0" xr:uid="{6B114234-03B9-41C2-8208-272DB4DF62D2}">
      <text>
        <r>
          <rPr>
            <sz val="9"/>
            <color indexed="81"/>
            <rFont val="Tahoma"/>
            <family val="2"/>
          </rPr>
          <t>If it isn’t updated, slack the PE directly and ask them to save it. If they are taking a while to answer, you may reach out to their manager. If significant time has passed with no reply, you may incomplete the final.</t>
        </r>
        <r>
          <rPr>
            <b/>
            <sz val="9"/>
            <color indexed="81"/>
            <rFont val="Tahoma"/>
            <family val="2"/>
          </rPr>
          <t xml:space="preserve">
</t>
        </r>
        <r>
          <rPr>
            <sz val="9"/>
            <color indexed="81"/>
            <rFont val="Tahoma"/>
            <family val="2"/>
          </rPr>
          <t xml:space="preserve">
</t>
        </r>
      </text>
    </comment>
    <comment ref="A10" authorId="1" shapeId="0" xr:uid="{43B5C5B1-4839-417B-BAA2-3DCABF8443A5}">
      <text>
        <r>
          <rPr>
            <b/>
            <sz val="9"/>
            <color indexed="81"/>
            <rFont val="Tahoma"/>
            <family val="2"/>
          </rPr>
          <t xml:space="preserve">Repeat Borrower
</t>
        </r>
        <r>
          <rPr>
            <sz val="9"/>
            <color indexed="81"/>
            <rFont val="Tahoma"/>
            <family val="2"/>
          </rPr>
          <t xml:space="preserve">Click the borrower icon which opens up the page of all the past loans
If there is another loan in progress, would need the cancelation agreement
If the application reports withdrawn, no further action required
</t>
        </r>
        <r>
          <rPr>
            <b/>
            <sz val="9"/>
            <color indexed="81"/>
            <rFont val="Tahoma"/>
            <family val="2"/>
          </rPr>
          <t>Concurrent Borrower</t>
        </r>
        <r>
          <rPr>
            <sz val="9"/>
            <color indexed="81"/>
            <rFont val="Tahoma"/>
            <family val="2"/>
          </rPr>
          <t xml:space="preserve">
Multiple active loans</t>
        </r>
        <r>
          <rPr>
            <b/>
            <sz val="9"/>
            <color indexed="81"/>
            <rFont val="Tahoma"/>
            <family val="2"/>
          </rPr>
          <t xml:space="preserve">
</t>
        </r>
        <r>
          <rPr>
            <sz val="9"/>
            <color indexed="81"/>
            <rFont val="Tahoma"/>
            <family val="2"/>
          </rPr>
          <t xml:space="preserve">
</t>
        </r>
      </text>
    </comment>
    <comment ref="B10" authorId="0" shapeId="0" xr:uid="{C54171FC-AB25-4C9A-9F60-129A518EE788}">
      <text>
        <r>
          <rPr>
            <sz val="9"/>
            <color indexed="81"/>
            <rFont val="Tahoma"/>
            <family val="2"/>
          </rPr>
          <t xml:space="preserve">For any debt that does not report months(like revolving), enter 12
</t>
        </r>
      </text>
    </comment>
    <comment ref="F10" authorId="1" shapeId="0" xr:uid="{8C3FCBC1-C6A0-40BD-9E60-2335A26C1957}">
      <text>
        <r>
          <rPr>
            <sz val="9"/>
            <color indexed="81"/>
            <rFont val="Tahoma"/>
            <family val="2"/>
          </rPr>
          <t>a. Match up CBR reference number
b. Make sure address matches number
c. Make sure LQI is within 10 days!!!!
d. Review new inquiries</t>
        </r>
        <r>
          <rPr>
            <b/>
            <sz val="9"/>
            <color indexed="81"/>
            <rFont val="Tahoma"/>
            <family val="2"/>
          </rPr>
          <t xml:space="preserve">
</t>
        </r>
        <r>
          <rPr>
            <sz val="9"/>
            <color indexed="81"/>
            <rFont val="Tahoma"/>
            <family val="2"/>
          </rPr>
          <t xml:space="preserve">
</t>
        </r>
      </text>
    </comment>
    <comment ref="C11" authorId="0" shapeId="0" xr:uid="{15F81C44-78F9-4ACD-8D61-39DBAA025D63}">
      <text>
        <r>
          <rPr>
            <sz val="9"/>
            <color indexed="81"/>
            <rFont val="Tahoma"/>
            <family val="2"/>
          </rPr>
          <t xml:space="preserve">Source Date=Pay Period End Date
</t>
        </r>
      </text>
    </comment>
    <comment ref="A13" authorId="1" shapeId="0" xr:uid="{4AECBE9D-7657-4EA6-ABF1-A28F849DBA0B}">
      <text>
        <r>
          <rPr>
            <sz val="9"/>
            <color indexed="81"/>
            <rFont val="Tahoma"/>
            <family val="2"/>
          </rPr>
          <t>-Zillow Page
-LOX from cust regarding hoa dues and if property is in need of repairs</t>
        </r>
        <r>
          <rPr>
            <sz val="9"/>
            <color indexed="81"/>
            <rFont val="Tahoma"/>
            <family val="2"/>
          </rPr>
          <t xml:space="preserve">
</t>
        </r>
      </text>
    </comment>
    <comment ref="B14" authorId="0" shapeId="0" xr:uid="{FB019E01-D57B-4828-85BE-2743FB48BCCB}">
      <text>
        <r>
          <rPr>
            <sz val="9"/>
            <color indexed="81"/>
            <rFont val="Tahoma"/>
            <family val="2"/>
          </rPr>
          <t>&gt;=$1000 *Currently* Disputed Derogatory Accounts require a downgrade to manual. If dispute resolved and DU notices the tradeline, ok to proceed and "Not Include" in ratios</t>
        </r>
      </text>
    </comment>
    <comment ref="C14" authorId="0" shapeId="0" xr:uid="{B7CFC466-8455-48A5-B642-29943BD35C95}">
      <text>
        <r>
          <rPr>
            <sz val="9"/>
            <color indexed="81"/>
            <rFont val="Tahoma"/>
            <family val="2"/>
          </rPr>
          <t xml:space="preserve">Transmittal summary screen
</t>
        </r>
      </text>
    </comment>
    <comment ref="A15" authorId="0" shapeId="0" xr:uid="{740AA72B-7BE6-4070-A069-E7A663E2187F}">
      <text>
        <r>
          <rPr>
            <sz val="9"/>
            <color indexed="81"/>
            <rFont val="Tahoma"/>
            <family val="2"/>
          </rPr>
          <t>Check to see if this is a R/T or a Cash out. Can only do cashout transaction if delayed financing is met</t>
        </r>
      </text>
    </comment>
    <comment ref="B15" authorId="0" shapeId="0" xr:uid="{214F39A5-240F-4F37-8F9E-DBC7B512B838}">
      <text>
        <r>
          <rPr>
            <sz val="9"/>
            <color indexed="81"/>
            <rFont val="Tahoma"/>
            <family val="2"/>
          </rPr>
          <t>IF total Collections &gt;2k, use 5% payment
If &lt;2k, zero out payment
Delete Medical Collections from VOL
MANUAL files require LOX's</t>
        </r>
      </text>
    </comment>
    <comment ref="B19" authorId="0" shapeId="0" xr:uid="{0257E41A-11AB-488C-83EF-5D8A8DEA72B2}">
      <text>
        <r>
          <rPr>
            <sz val="9"/>
            <color indexed="81"/>
            <rFont val="Tahoma"/>
            <family val="2"/>
          </rPr>
          <t xml:space="preserve">Check the Date Acquired date on the Refinance screen when you Enter into the loan purpose
If refinancing the property &lt;12mo since the previous case number assignement, use the lessor of the purchase price or appraised value
</t>
        </r>
        <r>
          <rPr>
            <b/>
            <sz val="9"/>
            <color indexed="81"/>
            <rFont val="Tahoma"/>
            <family val="2"/>
          </rPr>
          <t>Use FHA Connection for the following information!</t>
        </r>
        <r>
          <rPr>
            <sz val="9"/>
            <color indexed="81"/>
            <rFont val="Tahoma"/>
            <family val="2"/>
          </rPr>
          <t xml:space="preserve">
General Information Applicable to All Streamline Refinances
(a) Mortgage Seasoning Requirements
On the date of the FHA case number assignment:
• the Borrower must have made </t>
        </r>
        <r>
          <rPr>
            <u/>
            <sz val="9"/>
            <color indexed="81"/>
            <rFont val="Tahoma"/>
            <family val="2"/>
          </rPr>
          <t>at least six payments</t>
        </r>
        <r>
          <rPr>
            <sz val="9"/>
            <color indexed="81"/>
            <rFont val="Tahoma"/>
            <family val="2"/>
          </rPr>
          <t xml:space="preserve"> on the FHA-insured Mortgage that is being refinanced;
• at least six full months must have passed since the first payment due date of the Mortgage that is being refinanced;
• at least 210 Days must have passed from the Closing Date of the Mortgage that is being refinanced; and
• if the Borrower assumed the Mortgage that is being refinanced, they must have made six payments since the time of assumption.</t>
        </r>
      </text>
    </comment>
    <comment ref="G19" authorId="1" shapeId="0" xr:uid="{4F5B815D-74FE-49AE-9BE3-A7A1A0365D4B}">
      <text>
        <r>
          <rPr>
            <sz val="9"/>
            <color indexed="81"/>
            <rFont val="Tahoma"/>
            <family val="2"/>
          </rPr>
          <t>When a loan has mortgage insurance,
complete the Aggregate Setup section
● Input 2 for Tax and Haz Ins cushion
● Enter date one year out from the current date</t>
        </r>
        <r>
          <rPr>
            <sz val="9"/>
            <color indexed="81"/>
            <rFont val="Tahoma"/>
            <family val="2"/>
          </rPr>
          <t xml:space="preserve">
</t>
        </r>
      </text>
    </comment>
    <comment ref="A21" authorId="0" shapeId="0" xr:uid="{4B555F26-5E22-45BA-9C85-41722826C4F8}">
      <text>
        <r>
          <rPr>
            <sz val="9"/>
            <color indexed="81"/>
            <rFont val="Tahoma"/>
            <family val="2"/>
          </rPr>
          <t>Spouse to sign all applicable closing document TI</t>
        </r>
      </text>
    </comment>
    <comment ref="B22" authorId="0" shapeId="0" xr:uid="{4A773413-40CC-457F-BE04-9B705310D909}">
      <text>
        <r>
          <rPr>
            <sz val="9"/>
            <color indexed="81"/>
            <rFont val="Tahoma"/>
            <family val="2"/>
          </rPr>
          <t xml:space="preserve">We will need to verify that the cust has sufficient assets to cover the charge account.
Back out AMEX balance from eligible assets or have customer provide proof that the balance has been paid in full
</t>
        </r>
      </text>
    </comment>
    <comment ref="B23" authorId="0" shapeId="0" xr:uid="{D13B1D10-861D-42FE-8FF7-FFD0A6A04C3D}">
      <text>
        <r>
          <rPr>
            <sz val="9"/>
            <color indexed="81"/>
            <rFont val="Tahoma"/>
            <family val="2"/>
          </rPr>
          <t xml:space="preserve">Cannot Exclude with FHA if the remaining balance is &gt;5% of the income
</t>
        </r>
      </text>
    </comment>
    <comment ref="C23" authorId="1" shapeId="0" xr:uid="{E7F541B8-23FB-4CFC-94EE-0E7E7C543DBB}">
      <text>
        <r>
          <rPr>
            <sz val="9"/>
            <color indexed="81"/>
            <rFont val="Tahoma"/>
            <family val="2"/>
          </rPr>
          <t xml:space="preserve">-Confirmation from employer stating the customer is able to work remote permanently
-Working remote does not negatively impact the customer's current earnings/position
-Eliminate required commute  </t>
        </r>
      </text>
    </comment>
    <comment ref="E24" authorId="0" shapeId="0" xr:uid="{01B9BD21-8BE3-4E28-AFA2-CF29F4441E73}">
      <text>
        <r>
          <rPr>
            <b/>
            <sz val="9"/>
            <color indexed="81"/>
            <rFont val="Tahoma"/>
            <family val="2"/>
          </rPr>
          <t>Primary Residence:</t>
        </r>
        <r>
          <rPr>
            <sz val="9"/>
            <color indexed="81"/>
            <rFont val="Tahoma"/>
            <family val="2"/>
          </rPr>
          <t xml:space="preserve">
9% of value when LTV/CLTV is &lt; = 75%.
6% of value when LTV/CLTV is &gt; 75% up to and including 90%.
3% of value when LTV/CLTV is &gt; 90%; HomePath: 6% of value when LTV/CLTV is &gt; 90%.
</t>
        </r>
        <r>
          <rPr>
            <b/>
            <sz val="9"/>
            <color indexed="81"/>
            <rFont val="Tahoma"/>
            <family val="2"/>
          </rPr>
          <t>Second Homes:</t>
        </r>
        <r>
          <rPr>
            <sz val="9"/>
            <color indexed="81"/>
            <rFont val="Tahoma"/>
            <family val="2"/>
          </rPr>
          <t xml:space="preserve">
9% of value when LTV/CLTV is &lt; = 75%.
6% of value when LTV/CLTV is &gt; 75% up to and including 90%.
</t>
        </r>
        <r>
          <rPr>
            <b/>
            <sz val="9"/>
            <color indexed="81"/>
            <rFont val="Tahoma"/>
            <family val="2"/>
          </rPr>
          <t>Investment Property:</t>
        </r>
        <r>
          <rPr>
            <sz val="9"/>
            <color indexed="81"/>
            <rFont val="Tahoma"/>
            <family val="2"/>
          </rPr>
          <t xml:space="preserve">
2% regardless of the LTV/CLTV
Refer to Credit Policy Announcement 18-12 for Lender Contribution requirements.
</t>
        </r>
      </text>
    </comment>
    <comment ref="A25" authorId="0" shapeId="0" xr:uid="{BCA94933-0334-4219-B7E1-5E33434A301C}">
      <text>
        <r>
          <rPr>
            <sz val="9"/>
            <color indexed="81"/>
            <rFont val="Tahoma"/>
            <family val="2"/>
          </rPr>
          <t>1) Divorce Decree or Separatation agreement
2) PS covering atleast 28days</t>
        </r>
        <r>
          <rPr>
            <b/>
            <sz val="9"/>
            <color indexed="81"/>
            <rFont val="Tahoma"/>
            <family val="2"/>
          </rPr>
          <t xml:space="preserve">
</t>
        </r>
        <r>
          <rPr>
            <sz val="9"/>
            <color indexed="81"/>
            <rFont val="Tahoma"/>
            <family val="2"/>
          </rPr>
          <t xml:space="preserve">
Add as a liability</t>
        </r>
      </text>
    </comment>
    <comment ref="E25" authorId="0" shapeId="0" xr:uid="{6A2BAD6E-166B-4DDE-BC1F-F09A79AF2AC9}">
      <text>
        <r>
          <rPr>
            <sz val="9"/>
            <color indexed="81"/>
            <rFont val="Tahoma"/>
            <family val="2"/>
          </rPr>
          <t>We must verify and document the deposit amount and source of funds</t>
        </r>
        <r>
          <rPr>
            <u/>
            <sz val="9"/>
            <color indexed="81"/>
            <rFont val="Tahoma"/>
            <family val="2"/>
          </rPr>
          <t xml:space="preserve"> if the amount of the earnest money deposit exceeds 1% of the sales price</t>
        </r>
        <r>
          <rPr>
            <sz val="9"/>
            <color indexed="81"/>
            <rFont val="Tahoma"/>
            <family val="2"/>
          </rPr>
          <t xml:space="preserve"> or is excessive based on the Borrower’s history of accumulating savings, by obtaining, OR funds are required for the MRD.</t>
        </r>
        <r>
          <rPr>
            <sz val="9"/>
            <color indexed="81"/>
            <rFont val="Tahoma"/>
            <family val="2"/>
          </rPr>
          <t xml:space="preserve">
1. A copy of the Borrower’s canceled check;
2. Certification from the deposit-holder acknowledging receipt of funds; 
3. Bank Statement showing funds leaving the account
</t>
        </r>
        <r>
          <rPr>
            <b/>
            <sz val="9"/>
            <color indexed="81"/>
            <rFont val="Tahoma"/>
            <family val="2"/>
          </rPr>
          <t>If we dont need to verify, back out the EMD from assets and document on Loan Transmittal Screen</t>
        </r>
      </text>
    </comment>
    <comment ref="F25" authorId="1" shapeId="0" xr:uid="{5001BE0B-B613-4797-BB4F-BCD0F9D67513}">
      <text>
        <r>
          <rPr>
            <sz val="9"/>
            <color indexed="81"/>
            <rFont val="Tahoma"/>
            <family val="2"/>
          </rPr>
          <t>i. Verified - Yes
ii. Is Final – Yes
iii. Check DTI/CLTV
iv. PIW Still on Loan</t>
        </r>
        <r>
          <rPr>
            <b/>
            <sz val="9"/>
            <color indexed="81"/>
            <rFont val="Tahoma"/>
            <family val="2"/>
          </rPr>
          <t xml:space="preserve">
</t>
        </r>
        <r>
          <rPr>
            <sz val="9"/>
            <color indexed="81"/>
            <rFont val="Tahoma"/>
            <family val="2"/>
          </rPr>
          <t xml:space="preserve">
</t>
        </r>
      </text>
    </comment>
    <comment ref="B26" authorId="0" shapeId="0" xr:uid="{ADF672E1-3E81-4139-82D9-9F630922AA78}">
      <text>
        <r>
          <rPr>
            <sz val="9"/>
            <color indexed="81"/>
            <rFont val="Tahoma"/>
            <family val="2"/>
          </rPr>
          <t xml:space="preserve">Make sure all tradelines are dated current &lt;90days from the CBR date
</t>
        </r>
      </text>
    </comment>
    <comment ref="B28" authorId="0" shapeId="0" xr:uid="{304385E2-E0CE-4A72-A350-CC62217EDE1C}">
      <text>
        <r>
          <rPr>
            <sz val="9"/>
            <color indexed="81"/>
            <rFont val="Tahoma"/>
            <family val="2"/>
          </rPr>
          <t>If this is a cash-out, property must have been owned &gt;6mo</t>
        </r>
        <r>
          <rPr>
            <sz val="9"/>
            <color indexed="81"/>
            <rFont val="Tahoma"/>
            <family val="2"/>
          </rPr>
          <t xml:space="preserve">
</t>
        </r>
      </text>
    </comment>
    <comment ref="B29" authorId="0" shapeId="0" xr:uid="{6AF44CD9-A821-4F5C-B3A5-E3B08AA1138F}">
      <text>
        <r>
          <rPr>
            <sz val="9"/>
            <color indexed="81"/>
            <rFont val="Tahoma"/>
            <family val="2"/>
          </rPr>
          <t xml:space="preserve">Need to validate that the mtg we are paying off if this is a R/T, that the prior mtg was not a cash out, otherwise this is a cash out too
</t>
        </r>
      </text>
    </comment>
    <comment ref="E29" authorId="0" shapeId="0" xr:uid="{2F6BE32F-D608-4FFF-97E9-17155BDD744A}">
      <text>
        <r>
          <rPr>
            <sz val="9"/>
            <color indexed="81"/>
            <rFont val="Tahoma"/>
            <family val="2"/>
          </rPr>
          <t xml:space="preserve">Enter seller credits on HUD Settlement fees under #523. Make sure total seller paid fees match the purchase agreement.
Any surplus over the product max, enter as #214
</t>
        </r>
      </text>
    </comment>
    <comment ref="B30" authorId="0" shapeId="0" xr:uid="{71FC864C-31E0-427F-A6BA-48DCE9FE4682}">
      <text>
        <r>
          <rPr>
            <sz val="9"/>
            <color indexed="81"/>
            <rFont val="Tahoma"/>
            <family val="2"/>
          </rPr>
          <t>• All USDA full-doc and streamline transactions, FHA and VA Purchases and Cash-Out
Refinances, Non-FMC to FMC Rate/Term, Simple Refinances, Streamlines, and Non-FMC
to FMC VA IRRRLs (3/25/2020 through 6/28/2020 require 640 minimum score):
o Minimum credit score of 600 for each borrower for both Standard and Jumbo
transactions (effective 6/29/2020);
• FHA FMC to FMC Rate/Term, Simple Refinances, credit-qualifying FMC to FMC FHA
Streamline and FMC to FMC VA IRRRL Refinances:
o Minimum credit score of 550 for each borrower for both Standard and Jumbo
transactions;
• FMC to FMC FHA Streamline (non-credit qualifying):
o No minimum credit score required;
• FHA and VA Manufactured Housing:
o Minimum credit score of 640 for each borrower for all transactions.</t>
        </r>
        <r>
          <rPr>
            <sz val="9"/>
            <color indexed="81"/>
            <rFont val="Tahoma"/>
            <family val="2"/>
          </rPr>
          <t xml:space="preserve">
</t>
        </r>
      </text>
    </comment>
    <comment ref="B31" authorId="0" shapeId="0" xr:uid="{BDA23114-E89B-41BB-B211-5D9E54A1B45E}">
      <text>
        <r>
          <rPr>
            <b/>
            <sz val="9"/>
            <color indexed="81"/>
            <rFont val="Tahoma"/>
            <family val="2"/>
          </rPr>
          <t>Derogatory Event</t>
        </r>
        <r>
          <rPr>
            <sz val="9"/>
            <color indexed="81"/>
            <rFont val="Tahoma"/>
            <family val="2"/>
          </rPr>
          <t xml:space="preserve">                  Waiting Period Requirements             Waiting Period with Extenuating Circumstances
</t>
        </r>
        <r>
          <rPr>
            <b/>
            <sz val="9"/>
            <color indexed="81"/>
            <rFont val="Tahoma"/>
            <family val="2"/>
          </rPr>
          <t>Bankruptcy-Chapter  7 or11</t>
        </r>
        <r>
          <rPr>
            <sz val="9"/>
            <color indexed="81"/>
            <rFont val="Tahoma"/>
            <family val="2"/>
          </rPr>
          <t xml:space="preserve">                                  4 years                           2 years
</t>
        </r>
        <r>
          <rPr>
            <b/>
            <sz val="9"/>
            <color indexed="81"/>
            <rFont val="Tahoma"/>
            <family val="2"/>
          </rPr>
          <t>Bankruptcy-Chapter 13</t>
        </r>
        <r>
          <rPr>
            <sz val="9"/>
            <color indexed="81"/>
            <rFont val="Tahoma"/>
            <family val="2"/>
          </rPr>
          <t xml:space="preserve">               2 years from discharge date
                                                   4 years from dismissal date                        2 years from discharge date
                                                                                                                     2 years from dismissal date
</t>
        </r>
        <r>
          <rPr>
            <b/>
            <sz val="9"/>
            <color indexed="81"/>
            <rFont val="Tahoma"/>
            <family val="2"/>
          </rPr>
          <t>Multiple Bankruptcy Filings</t>
        </r>
        <r>
          <rPr>
            <sz val="9"/>
            <color indexed="81"/>
            <rFont val="Tahoma"/>
            <family val="2"/>
          </rPr>
          <t xml:space="preserve">   5 years if more than one filing within the past 7 years  ||  3 years from the most recent discharge or dismissal date
</t>
        </r>
        <r>
          <rPr>
            <b/>
            <sz val="9"/>
            <color indexed="81"/>
            <rFont val="Tahoma"/>
            <family val="2"/>
          </rPr>
          <t xml:space="preserve">
Foreclosure 1</t>
        </r>
        <r>
          <rPr>
            <sz val="9"/>
            <color indexed="81"/>
            <rFont val="Tahoma"/>
            <family val="2"/>
          </rPr>
          <t xml:space="preserve">                                                7 years                                                     3 years
                                                                                                                                    &gt;3 years up to 7 years:
                                                                                                                                       90% maximum LTV2
                                                                                                                             Purchase, principal residence
                                                                                                                    Limited cash-out refinance, all occupancy types
</t>
        </r>
        <r>
          <rPr>
            <b/>
            <sz val="9"/>
            <color indexed="81"/>
            <rFont val="Tahoma"/>
            <family val="2"/>
          </rPr>
          <t>Deed-in lieu of Foreclosure, Pre-foreclosure Sale/Short Sale, Charge-off of Mortgage account</t>
        </r>
        <r>
          <rPr>
            <sz val="9"/>
            <color indexed="81"/>
            <rFont val="Tahoma"/>
            <family val="2"/>
          </rPr>
          <t xml:space="preserve">
                                                                                4 years                                        2 years
1 When both a bankruptcy and foreclosure are disclosed on the loan application or when both appear on the credit report apply the bankruptcy waiting period if appropriate documentation is obtained to verify that the mortgage loan in question was discharged in the bankruptcy. Otherwise, the greater of the applicable bankruptcy or foreclosure waiting period must be applied.
2 The maximum LTV permitted is the lesser of the LTV ratios in this table or the maximum LTV ratios for the transaction per the maximum LTV/CLTV chart in this document.
3 For manually underwritten loans, the waiting period commences on the completion, discharge or dismissal date (as applicable) of the derogatory credit event and ends on the disbursement date of the new loan; refer to Fannie Mae Selling Guide section B3-5.3-07 for details.</t>
        </r>
      </text>
    </comment>
    <comment ref="E31" authorId="0" shapeId="0" xr:uid="{1936418D-0A74-4B89-BCEA-39EE9CFF9AF2}">
      <text>
        <r>
          <rPr>
            <sz val="9"/>
            <color indexed="81"/>
            <rFont val="Tahoma"/>
            <family val="2"/>
          </rPr>
          <t>List Gift on Misc Asset Screen ONLY if they have not yet been received. Otherwise, list them on the Funds Source
Conventional and USDA require that gift funds be removed from assets if they have been received and marked as Gift(like I did in MX)
Gift Donor Statement // Gift Check // Gift Receipt  Confirmation // Gift Letter
Conventional: Only need the gift letter and deposit into the recipeint's account
Required Docs
1) The Mortgagee must obtain a gift letter signed and dated by the donor and Borrower that includes the following:
• the donor’s name, address, and telephone number;
• the donor’s relationship to the Borrower;
• the dollar amount of the gift; and
• a statement that no repayment is required
2) The Mortgagee must verify and document the transfer of gift funds from the donor to the Borrower in accordance with the requirements below.
a. If the gift funds have been verified in the Borrower’s account, obtain the donor’s bank statement showing the withdrawal and evidence of the deposit into the Borrower’s account.
b. If the gift funds are not verified in the Borrower’s account, obtain the certified check or money order or cashier’s check or wire transfer or other official check evidencing payment to the Borrower or settlement agent, and the donor’s bank statement evidencing sufficient funds for the amount of the gift.</t>
        </r>
      </text>
    </comment>
    <comment ref="F31" authorId="1" shapeId="0" xr:uid="{B4D2B423-4452-4F49-8E23-5E12C9882800}">
      <text>
        <r>
          <rPr>
            <sz val="9"/>
            <color indexed="81"/>
            <rFont val="Tahoma"/>
            <family val="2"/>
          </rPr>
          <t>i. Verified - Yes
ii. Is Final – Yes
iii. Check DTI/CLTV
iv. PIW Still on Loan</t>
        </r>
        <r>
          <rPr>
            <b/>
            <sz val="9"/>
            <color indexed="81"/>
            <rFont val="Tahoma"/>
            <family val="2"/>
          </rPr>
          <t xml:space="preserve">
</t>
        </r>
        <r>
          <rPr>
            <sz val="9"/>
            <color indexed="81"/>
            <rFont val="Tahoma"/>
            <family val="2"/>
          </rPr>
          <t xml:space="preserve">
</t>
        </r>
      </text>
    </comment>
    <comment ref="E32" authorId="0" shapeId="0" xr:uid="{CE722556-56B5-4521-999E-4C038D90F49C}">
      <text>
        <r>
          <rPr>
            <sz val="9"/>
            <color indexed="81"/>
            <rFont val="Tahoma"/>
            <family val="2"/>
          </rPr>
          <t>Seller paid contributions cannot exceed Closing cost(est)+Estimated Prepaid Items+Discount Points OR 6%
Interested Parties may contribute up to 6 percent of the sales price toward the Borrower’s origination fees, other closing costs, prepaid items and discount points. The 6 percent limit also includes:
• Interested Party payment for permanent and temporary interest rate buydowns, and other payment supplements;
• payments of mortgage interest for fixed rate Mortgages;
• Mortgage Payment protection insurance; and
• payment of the UFMIP (if this is not financed)
Can consider not financing the UFMIP, but would need to make sure it would be covered inside the seller paid concessions as it cannot be split.</t>
        </r>
        <r>
          <rPr>
            <sz val="9"/>
            <color indexed="81"/>
            <rFont val="Tahoma"/>
            <family val="2"/>
          </rPr>
          <t xml:space="preserve">
</t>
        </r>
      </text>
    </comment>
    <comment ref="A34" authorId="0" shapeId="0" xr:uid="{A3A3E2D3-7CC9-4DC1-B63A-596C6427D756}">
      <text>
        <r>
          <rPr>
            <sz val="9"/>
            <color indexed="81"/>
            <rFont val="Tahoma"/>
            <family val="2"/>
          </rPr>
          <t xml:space="preserve">&gt;50 miles requires LOX. On refi transactions, assume they have been doing this in the past
</t>
        </r>
      </text>
    </comment>
    <comment ref="E34" authorId="0" shapeId="0" xr:uid="{12C13227-158B-48AE-8A97-0C3A5512BB6C}">
      <text>
        <r>
          <rPr>
            <sz val="9"/>
            <color indexed="81"/>
            <rFont val="Tahoma"/>
            <family val="2"/>
          </rPr>
          <t>May have to amend contract to extend out closing date</t>
        </r>
        <r>
          <rPr>
            <sz val="9"/>
            <color indexed="81"/>
            <rFont val="Tahoma"/>
            <family val="2"/>
          </rPr>
          <t xml:space="preserve">
</t>
        </r>
      </text>
    </comment>
    <comment ref="C36" authorId="0" shapeId="0" xr:uid="{1F26A731-658E-4B17-A584-01D796A9D5C8}">
      <text>
        <r>
          <rPr>
            <sz val="9"/>
            <color indexed="81"/>
            <rFont val="Tahoma"/>
            <family val="2"/>
          </rPr>
          <t xml:space="preserve">Do not need to review title in these States
- New York
- New Jersey
- Massachusetts
- Rhode Island
- Connecticut
- Pennsylvania
- Washington 
- California
- Michigan </t>
        </r>
        <r>
          <rPr>
            <b/>
            <sz val="9"/>
            <color indexed="81"/>
            <rFont val="Tahoma"/>
            <family val="2"/>
          </rPr>
          <t xml:space="preserve">
</t>
        </r>
        <r>
          <rPr>
            <sz val="9"/>
            <color indexed="81"/>
            <rFont val="Tahoma"/>
            <family val="2"/>
          </rPr>
          <t xml:space="preserve">
</t>
        </r>
      </text>
    </comment>
    <comment ref="D121" authorId="0" shapeId="0" xr:uid="{31545737-33B7-49A1-8116-ADFC4307AC90}">
      <text>
        <r>
          <rPr>
            <sz val="9"/>
            <color indexed="81"/>
            <rFont val="Tahoma"/>
            <family val="2"/>
          </rPr>
          <t xml:space="preserve">Loan Registration&gt;Borrower Information
</t>
        </r>
      </text>
    </comment>
    <comment ref="D123" authorId="0" shapeId="0" xr:uid="{44D62721-6BF7-4EDD-9AA2-FA55C47F14C0}">
      <text>
        <r>
          <rPr>
            <sz val="9"/>
            <color indexed="81"/>
            <rFont val="Tahoma"/>
            <family val="2"/>
          </rPr>
          <t xml:space="preserve">Make sure 1003 Declarations match Lakewood Declarations for each borrower
</t>
        </r>
      </text>
    </comment>
    <comment ref="D124" authorId="0" shapeId="0" xr:uid="{00D0F0A2-EF26-4A03-88EF-E64A91E33CA4}">
      <text>
        <r>
          <rPr>
            <sz val="9"/>
            <color indexed="81"/>
            <rFont val="Tahoma"/>
            <family val="2"/>
          </rPr>
          <t>Additional Personal Info Screen
Add AKA's here, and then add the AKA TI
Mini-C loans - Must add the names to the "Name Affidavit" TI as well</t>
        </r>
      </text>
    </comment>
    <comment ref="D126" authorId="0" shapeId="0" xr:uid="{BACCFD8F-8C09-4EAE-8486-828583AA8030}">
      <text>
        <r>
          <rPr>
            <sz val="9"/>
            <color indexed="81"/>
            <rFont val="Tahoma"/>
            <family val="2"/>
          </rPr>
          <t>Make sure all trades show either Credit Report or validated by UW
Enter Credit Report as the method</t>
        </r>
      </text>
    </comment>
    <comment ref="D127" authorId="0" shapeId="0" xr:uid="{D2D43CF8-8112-44DE-972D-91394004EB77}">
      <text>
        <r>
          <rPr>
            <sz val="9"/>
            <color indexed="81"/>
            <rFont val="Tahoma"/>
            <family val="2"/>
          </rPr>
          <t xml:space="preserve">o Property Status = N/A (unless property is an investment, then select “Rental”)
o Current/Subject = Both (unless subject is an investment then select “Subject Property”)
For payoffs:
o Use Credit Bereau on initial. If there is a payoff statement on file, use "Payoff Demand"
o Source Doc = “Payoff Demand” or "Credit Bureau"
o Ver Date = Date payoff was generated
o Good through = Expiration date from payoff statement (may go to end of month if per diem interest is shown)
</t>
        </r>
        <r>
          <rPr>
            <sz val="9"/>
            <color indexed="81"/>
            <rFont val="Tahoma"/>
            <family val="2"/>
          </rPr>
          <t xml:space="preserve">
</t>
        </r>
      </text>
    </comment>
    <comment ref="B128" authorId="0" shapeId="0" xr:uid="{5F4BCD55-6AF4-43CF-9E74-B17CF3455065}">
      <text>
        <r>
          <rPr>
            <sz val="9"/>
            <color indexed="81"/>
            <rFont val="Tahoma"/>
            <family val="2"/>
          </rPr>
          <t xml:space="preserve">Make sure there is no 5% Factor
</t>
        </r>
      </text>
    </comment>
    <comment ref="D128" authorId="0" shapeId="0" xr:uid="{7CE1E7D5-67D8-452D-8D35-D317DAF604C7}">
      <text>
        <r>
          <rPr>
            <sz val="9"/>
            <color indexed="81"/>
            <rFont val="Tahoma"/>
            <family val="2"/>
          </rPr>
          <t>-Verify scores match Credit Report
-Verify Verification date is the CBR date
-Make sure good through Date is 120 days</t>
        </r>
      </text>
    </comment>
    <comment ref="B129" authorId="0" shapeId="0" xr:uid="{96139787-8BCA-43D3-892E-948A294AD227}">
      <text>
        <r>
          <rPr>
            <sz val="9"/>
            <color indexed="81"/>
            <rFont val="Tahoma"/>
            <family val="2"/>
          </rPr>
          <t>o Check box to Print borrower’s authorization 
o Enter Borrower’s owned residence information( address, monthly pymnt, Property used as, subject property, if applicable).
o Attach/Show Liens, click box
oCannot have 2 primarys. If keeping homes after sale of current home, change previous primary to investment. Cannot do secondary within 100 miles of primary</t>
        </r>
        <r>
          <rPr>
            <b/>
            <sz val="9"/>
            <color indexed="81"/>
            <rFont val="Tahoma"/>
            <family val="2"/>
          </rPr>
          <t xml:space="preserve">
</t>
        </r>
        <r>
          <rPr>
            <sz val="9"/>
            <color indexed="81"/>
            <rFont val="Tahoma"/>
            <family val="2"/>
          </rPr>
          <t xml:space="preserve">
</t>
        </r>
      </text>
    </comment>
    <comment ref="D129" authorId="0" shapeId="0" xr:uid="{F650DCCF-A186-4B21-A716-9E702CE983F7}">
      <text>
        <r>
          <rPr>
            <sz val="9"/>
            <color indexed="81"/>
            <rFont val="Tahoma"/>
            <family val="2"/>
          </rPr>
          <t>ONLY used if there are any Late Mortgage Payments
If there are any lates, enter the correct lates for each tradeline using the Credit Report
See Mortgage Hisotyr Data Entry notes</t>
        </r>
      </text>
    </comment>
    <comment ref="D130" authorId="0" shapeId="0" xr:uid="{0347365E-C5BC-4999-9593-8BFA37D43D7E}">
      <text>
        <r>
          <rPr>
            <sz val="9"/>
            <color indexed="81"/>
            <rFont val="Tahoma"/>
            <family val="2"/>
          </rPr>
          <t xml:space="preserve">Must be completed for all FHA Full Document transactions
o If counseled, change to Agency FHA, Counseling Administrator HUD APPROVED COUNSELING AGENCY and Format of Counseling FACE TO FACE.
o For loans that do not require counseling, select “N/A” under Counseling Administrator.
o If there is no indication that Homeowner Counseling was completed, select “N/A”.
</t>
        </r>
      </text>
    </comment>
    <comment ref="C132" authorId="0" shapeId="0" xr:uid="{85FEE002-3C90-44CF-983A-6A7D535F5D40}">
      <text>
        <r>
          <rPr>
            <sz val="9"/>
            <color indexed="81"/>
            <rFont val="Tahoma"/>
            <family val="2"/>
          </rPr>
          <t xml:space="preserve">Change through BPM on the Loan Status screen to Received by UW
</t>
        </r>
      </text>
    </comment>
    <comment ref="D133" authorId="0" shapeId="0" xr:uid="{5D514A23-7335-4E84-9FA4-47B80FD583F8}">
      <text>
        <r>
          <rPr>
            <sz val="9"/>
            <color indexed="81"/>
            <rFont val="Tahoma"/>
            <family val="2"/>
          </rPr>
          <t xml:space="preserve">Check appraisal date(if on file) against the disaster area
If no appraisal in on initial, will need to make a F5 comment ***Do Not Fund*** listing that we need to verify the proeprty is still exiting using the appraisal
</t>
        </r>
      </text>
    </comment>
    <comment ref="B134" authorId="0" shapeId="0" xr:uid="{15876A02-6D1D-4846-9B16-DC239BBE31BA}">
      <text>
        <r>
          <rPr>
            <sz val="9"/>
            <color indexed="81"/>
            <rFont val="Tahoma"/>
            <family val="2"/>
          </rPr>
          <t xml:space="preserve">Transactions that Require Homeownership Education
For the following transactions, at least one borrower on the mortgage loan must complete homeownership education prior to loan closing:
-if all borrowers on the loan are relying </t>
        </r>
        <r>
          <rPr>
            <b/>
            <sz val="9"/>
            <color indexed="81"/>
            <rFont val="Tahoma"/>
            <family val="2"/>
          </rPr>
          <t>solely on nontraditional credit to qualify</t>
        </r>
        <r>
          <rPr>
            <sz val="9"/>
            <color indexed="81"/>
            <rFont val="Tahoma"/>
            <family val="2"/>
          </rPr>
          <t>, regardless of the loan product or whether the borrowers are first-time home buyers;
-</t>
        </r>
        <r>
          <rPr>
            <b/>
            <sz val="9"/>
            <color indexed="81"/>
            <rFont val="Tahoma"/>
            <family val="2"/>
          </rPr>
          <t>HomeReady</t>
        </r>
        <r>
          <rPr>
            <sz val="9"/>
            <color indexed="81"/>
            <rFont val="Tahoma"/>
            <family val="2"/>
          </rPr>
          <t xml:space="preserve"> purchase transactions, when all occupying borrowers are first-time homebuyers; or
-purchase transactions with </t>
        </r>
        <r>
          <rPr>
            <b/>
            <sz val="9"/>
            <color indexed="81"/>
            <rFont val="Tahoma"/>
            <family val="2"/>
          </rPr>
          <t>LTV, CLTV, or HCLTV ratios greater than 95%, when all borrowers are first-time homebuyers.</t>
        </r>
        <r>
          <rPr>
            <sz val="9"/>
            <color indexed="81"/>
            <rFont val="Tahoma"/>
            <family val="2"/>
          </rPr>
          <t xml:space="preserve">
(err-tag=note)
Note: The requirements that apply to purchases also apply to construction-to-permanent transactions that are processed as a purchase.</t>
        </r>
      </text>
    </comment>
    <comment ref="C134" authorId="0" shapeId="0" xr:uid="{AC4E50B1-1C06-40D8-A7BF-0007A9538152}">
      <text>
        <r>
          <rPr>
            <sz val="9"/>
            <color indexed="81"/>
            <rFont val="Tahoma"/>
            <family val="2"/>
          </rPr>
          <t xml:space="preserve">Check both Broker and UW Comments
</t>
        </r>
      </text>
    </comment>
    <comment ref="B135" authorId="0" shapeId="0" xr:uid="{A447C1FE-F323-4C17-A0A6-9CEA1F5E0F52}">
      <text>
        <r>
          <rPr>
            <sz val="9"/>
            <color indexed="81"/>
            <rFont val="Tahoma"/>
            <family val="2"/>
          </rPr>
          <t xml:space="preserve">o Press [Enter] on employer to be updated to move down to “Verification Methods”.
o Press [Insert] to add a new record (do not change existing records).
o If Employer information needs to be corrected (name, address, phone number).
o Press Up Arrow, press [Enter]. Correct information. Press [Home] once completed.
o Complete information on “Employment Information” screen. Press [Enter] to move forward.
o “Source Document” - Select document type (in pop-up) used to verify and calculate income.
o Source Date – Enter ending date on income document (e.g. pay period end date on most recent paystub)
o Source Good Through Rule - press [Tab], select expiration period (e.g.120 days)
o Valid - Type “Yes”. NOTE: If not changed to “Yes”, this income will not be used to qualify.
</t>
        </r>
        <r>
          <rPr>
            <u/>
            <sz val="9"/>
            <color indexed="81"/>
            <rFont val="Tahoma"/>
            <family val="2"/>
          </rPr>
          <t>o 4506T field – change to “Full Transcript” on all loans (even if transcripts not obtained).</t>
        </r>
        <r>
          <rPr>
            <sz val="9"/>
            <color indexed="81"/>
            <rFont val="Tahoma"/>
            <family val="2"/>
          </rPr>
          <t xml:space="preserve">
o Press [Enter] to bring up the Employment Income section
o NOTE: If you are returned to “Verification Methods” section,
o Select the record you entered and press [Enter].
o Press [Enter] through screen past “4506T” field, Employment Information will now pop-up.
o To change income (from “Employment Income” pop-up screen),
o Use down arrow to select income to update.
o Press [Enter], update income to match calculated income (from Blueprint worksheet),
o Press [Home] and use up/down arrows to move to other income types,
o Press [Enter] and enter other applicable income types, press [Home]. Repeat if needed.
o Press [Home] repeatedly to exit screen until back to Borrower Information, OR
o If borrower has additional Employment, Press [Home] until cursor is in the “Employers” box (box above “Verification Methods”). Select additional Employer, press [Enter] to go to “Verification Methods”. Press [Insert] to add new record. Repeat process above.
****The Work Number**** - Choose Written Statement</t>
        </r>
        <r>
          <rPr>
            <b/>
            <sz val="9"/>
            <color indexed="81"/>
            <rFont val="Tahoma"/>
            <family val="2"/>
          </rPr>
          <t xml:space="preserve">
</t>
        </r>
        <r>
          <rPr>
            <sz val="9"/>
            <color indexed="81"/>
            <rFont val="Tahoma"/>
            <family val="2"/>
          </rPr>
          <t xml:space="preserve">
</t>
        </r>
      </text>
    </comment>
    <comment ref="C135" authorId="0" shapeId="0" xr:uid="{707D5FE5-A13E-4C0D-8D5E-8ECE23CA2686}">
      <text>
        <r>
          <rPr>
            <sz val="9"/>
            <color indexed="81"/>
            <rFont val="Tahoma"/>
            <family val="2"/>
          </rPr>
          <t xml:space="preserve">Write down SSN's for all apps. 
Back all the way out to the Wholesale Main Menu&gt;#15 Servicing Data Lookup
</t>
        </r>
      </text>
    </comment>
    <comment ref="A138" authorId="0" shapeId="0" xr:uid="{0DF0F279-6C8B-43D5-B769-2A022E076ABE}">
      <text>
        <r>
          <rPr>
            <sz val="9"/>
            <color indexed="81"/>
            <rFont val="Tahoma"/>
            <family val="2"/>
          </rPr>
          <t>o Ages of the borrower(s): if not completed, there will be an error.
o The Repayment Type Code should be blank for FHA loans.
o Enter VA CAIVRS #’s (close to the bottom of the form)
o Check box on VA loans if B/ CB is married, to avoid hard stop.
o If DU is “Ineligible” due to missing checked box, correct and re-run DU</t>
        </r>
        <r>
          <rPr>
            <b/>
            <sz val="9"/>
            <color indexed="81"/>
            <rFont val="Tahoma"/>
            <family val="2"/>
          </rPr>
          <t xml:space="preserve">
</t>
        </r>
        <r>
          <rPr>
            <sz val="9"/>
            <color indexed="81"/>
            <rFont val="Tahoma"/>
            <family val="2"/>
          </rPr>
          <t xml:space="preserve">
</t>
        </r>
      </text>
    </comment>
    <comment ref="B140" authorId="0" shapeId="0" xr:uid="{BF69CB5D-9CE2-4A95-B768-9875B6AFC838}">
      <text>
        <r>
          <rPr>
            <sz val="9"/>
            <color indexed="81"/>
            <rFont val="Tahoma"/>
            <family val="2"/>
          </rPr>
          <t xml:space="preserve">Source Date=Pay Period End Date
</t>
        </r>
      </text>
    </comment>
    <comment ref="B143" authorId="0" shapeId="0" xr:uid="{7C3A626B-4923-4570-BFCF-E848397A0AE3}">
      <text>
        <r>
          <rPr>
            <sz val="9"/>
            <color indexed="81"/>
            <rFont val="Tahoma"/>
            <family val="2"/>
          </rPr>
          <t xml:space="preserve">Transmittal summary screen
</t>
        </r>
      </text>
    </comment>
    <comment ref="A145" authorId="0" shapeId="0" xr:uid="{12210C3B-B03B-436F-84C1-4E063B2BDB54}">
      <text>
        <r>
          <rPr>
            <sz val="9"/>
            <color indexed="81"/>
            <rFont val="Tahoma"/>
            <family val="2"/>
          </rPr>
          <t>Mark them all as reviewed</t>
        </r>
        <r>
          <rPr>
            <sz val="9"/>
            <color indexed="81"/>
            <rFont val="Tahoma"/>
            <family val="2"/>
          </rPr>
          <t xml:space="preserve">
</t>
        </r>
      </text>
    </comment>
    <comment ref="C145" authorId="0" shapeId="0" xr:uid="{0610D733-542A-4389-AC13-D33E74E08D1A}">
      <text>
        <r>
          <rPr>
            <b/>
            <sz val="9"/>
            <color indexed="81"/>
            <rFont val="Tahoma"/>
            <family val="2"/>
          </rPr>
          <t>Troy Mcbrair:</t>
        </r>
        <r>
          <rPr>
            <sz val="9"/>
            <color indexed="81"/>
            <rFont val="Tahoma"/>
            <family val="2"/>
          </rPr>
          <t xml:space="preserve">
2 Copies in Wholesale
1) Obsolete the broker findings. Only keep the FHC findings</t>
        </r>
      </text>
    </comment>
    <comment ref="E145" authorId="0" shapeId="0" xr:uid="{3C21615C-F966-4BF7-ABE3-6447C84533A5}">
      <text>
        <r>
          <rPr>
            <sz val="9"/>
            <color indexed="81"/>
            <rFont val="Tahoma"/>
            <family val="2"/>
          </rPr>
          <t xml:space="preserve">o Add Apprv/Disb Exp (date of first expiring doc, usually payoff on refinance loans)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o Review housing and debt ratio on this screen and compare against your manually calculated ratios to confirm accuracy. Check ratios against DU ratios also.
o Enter Max Debt Ratio allowed (round up to nearest percentage, unless already a high DTI)
o Check to be sure Cash Required to Close does not exceed Liquid Assets Available or you will need to add a condition for sufficient assets for funds to close.
o Max Interest Rate = interest rate to the right of Max Int Rate
o Max CLTV = CLTV Allowed by guidelines for pruchase
   -For rate/term, just put in the CLTV at what you underwrote the loan at, not the max per policy
o Max HCLTV= Most times is the same as the CLTV 
o # Fin Prop = # of properties borrower owns and is financed, including subject
o # Owned Prop = total # of properties owned (both financed and owned free &amp; clear, incl. subj)
o UW Rev Req = only used when Proposing Denial and submitting to mgr for 2nd review
o Max Limit: Purchases &amp; Refinances - Press Tab and complete Allowed column on left based on current information at time of review, review/update at each review of loan
o Note: Income/Debt/Asset fields in this screen show all information used to come up with the total when you Press Tab on each field (i.e. Press Tab under Total Verified Income and a pop-up will reflect all income used in the total)
</t>
        </r>
        <r>
          <rPr>
            <sz val="9"/>
            <color indexed="81"/>
            <rFont val="Tahoma"/>
            <family val="2"/>
          </rPr>
          <t xml:space="preserve">
</t>
        </r>
      </text>
    </comment>
    <comment ref="E146" authorId="0" shapeId="0" xr:uid="{D9F2F0DA-4D90-4DEA-93D8-52EF0EFD778B}">
      <text>
        <r>
          <rPr>
            <sz val="9"/>
            <color indexed="81"/>
            <rFont val="Tahoma"/>
            <family val="2"/>
          </rPr>
          <t>Put the expiration date of the earliest doc on the right box(not blue/green) and count back 3 recicsion days from that, and that is the Apprv date
o Add Apprv/Disb Exp (date of first expiring doc, usually payoff on refinance loans or</t>
        </r>
        <r>
          <rPr>
            <u/>
            <sz val="9"/>
            <color indexed="81"/>
            <rFont val="Tahoma"/>
            <family val="2"/>
          </rPr>
          <t xml:space="preserve"> ANY other docs except the Settlement date</t>
        </r>
        <r>
          <rPr>
            <sz val="9"/>
            <color indexed="81"/>
            <rFont val="Tahoma"/>
            <family val="2"/>
          </rPr>
          <t xml:space="preserve">)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t>
        </r>
      </text>
    </comment>
    <comment ref="E147" authorId="0" shapeId="0" xr:uid="{D3D34EA7-3D65-4D7D-AC27-716A10FFDBF2}">
      <text>
        <r>
          <rPr>
            <sz val="9"/>
            <color indexed="81"/>
            <rFont val="Tahoma"/>
            <family val="2"/>
          </rPr>
          <t xml:space="preserve">Submit Investors
Make sure to run w/ credit button checked
</t>
        </r>
      </text>
    </comment>
    <comment ref="A148" authorId="0" shapeId="0" xr:uid="{D390DAD6-B8D4-40AA-AC06-93F0AF38801D}">
      <text>
        <r>
          <rPr>
            <sz val="9"/>
            <color indexed="81"/>
            <rFont val="Tahoma"/>
            <family val="2"/>
          </rPr>
          <t xml:space="preserve">Hold Harmless document to be signed/dated at closing
</t>
        </r>
      </text>
    </comment>
    <comment ref="C149" authorId="0" shapeId="0" xr:uid="{B1FCCFE2-46FB-43AA-B1EE-E8CCC5E0DD49}">
      <text>
        <r>
          <rPr>
            <sz val="9"/>
            <color indexed="81"/>
            <rFont val="Tahoma"/>
            <family val="2"/>
          </rPr>
          <t xml:space="preserve">Make sure Rate/Term is &lt;$500.00
-Review FICO(&lt;500 not eligible)
-Review CLTV
</t>
        </r>
      </text>
    </comment>
    <comment ref="E149" authorId="0" shapeId="0" xr:uid="{43FFBD6D-B180-42F5-93DE-9918690FDEE4}">
      <text>
        <r>
          <rPr>
            <sz val="9"/>
            <color indexed="81"/>
            <rFont val="Tahoma"/>
            <family val="2"/>
          </rPr>
          <t xml:space="preserve">o Run, review entire report and clear any variances if applicable then re-run again to update score. </t>
        </r>
        <r>
          <rPr>
            <u/>
            <sz val="9"/>
            <color indexed="81"/>
            <rFont val="Tahoma"/>
            <family val="2"/>
          </rPr>
          <t>Be sure to run using “Order + Query” so report prints to EDMS.</t>
        </r>
        <r>
          <rPr>
            <sz val="9"/>
            <color indexed="81"/>
            <rFont val="Tahoma"/>
            <family val="2"/>
          </rPr>
          <t xml:space="preserve"> 
</t>
        </r>
      </text>
    </comment>
    <comment ref="A152" authorId="0" shapeId="0" xr:uid="{4BFF42F3-7F78-4A0A-A556-04482AC7307C}">
      <text>
        <r>
          <rPr>
            <sz val="9"/>
            <color indexed="81"/>
            <rFont val="Tahoma"/>
            <family val="2"/>
          </rPr>
          <t xml:space="preserve">For Manual reviews, make sure both boxes are checked
</t>
        </r>
      </text>
    </comment>
    <comment ref="A153" authorId="0" shapeId="0" xr:uid="{3DC5FED7-6963-40B7-95AC-B81153514AEF}">
      <text>
        <r>
          <rPr>
            <sz val="9"/>
            <color indexed="81"/>
            <rFont val="Tahoma"/>
            <family val="2"/>
          </rPr>
          <t xml:space="preserve">Approval Expiration date = 60days from review date
</t>
        </r>
      </text>
    </comment>
    <comment ref="E154" authorId="0" shapeId="0" xr:uid="{390EE88C-883C-4708-9860-DCBA536B3998}">
      <text>
        <r>
          <rPr>
            <sz val="9"/>
            <color indexed="81"/>
            <rFont val="Tahoma"/>
            <family val="2"/>
          </rPr>
          <t xml:space="preserve">Review Streamline TI's
</t>
        </r>
      </text>
    </comment>
    <comment ref="C155" authorId="0" shapeId="0" xr:uid="{3921DF88-D031-4A7F-A448-36C19D3250CE}">
      <text>
        <r>
          <rPr>
            <sz val="9"/>
            <color indexed="81"/>
            <rFont val="Tahoma"/>
            <family val="2"/>
          </rPr>
          <t>Remove all self identifying info(DL/Passport) from documents except for I55 Greencard and other res alien info</t>
        </r>
        <r>
          <rPr>
            <sz val="9"/>
            <color indexed="81"/>
            <rFont val="Tahoma"/>
            <family val="2"/>
          </rPr>
          <t xml:space="preserve">
</t>
        </r>
      </text>
    </comment>
    <comment ref="A156" authorId="0" shapeId="0" xr:uid="{965397CE-45BB-4573-9910-709A786CC8C2}">
      <text>
        <r>
          <rPr>
            <sz val="9"/>
            <color indexed="81"/>
            <rFont val="Tahoma"/>
            <family val="2"/>
          </rPr>
          <t xml:space="preserve">o Enter early check clear dates on every DU loan (date of initial DU run). Only run the Early Check results (request u/w under services tab) on Conv FNMA loans.
</t>
        </r>
      </text>
    </comment>
    <comment ref="E156" authorId="0" shapeId="0" xr:uid="{62646237-EA29-4C95-93B2-BD46BD85B8B9}">
      <text>
        <r>
          <rPr>
            <sz val="9"/>
            <color indexed="81"/>
            <rFont val="Tahoma"/>
            <family val="2"/>
          </rPr>
          <t>• An Underwriting Terms and Conditions Form should be printed to EDMS and closely reviewed prior to setting a new Loan Status (every time). It is the last opportunity to correct any errors before the UTC is sent to the client. To print:
• Highlight “Print via Lakewood” and press [Enter].
• Change “Send to EDMS” to “Yes”, press [Enter] until new screen is shown.
• You will likely see a “Warning” regarding the loan being eligible for Docutech, press [Enter] at “OK”
•  Press the letter “U”, cursor will be on “Underwriting Terms &amp; Conditions”, press [Enter].
• A message saying “Send to EDMS Successful” will show. Press [Enter].
• Open up the loan in EDMS. If loan is already opened in EDMS, click on “Document Navigator” to refresh the screen.
• Open the “System Generated” Document Category and click on the Underwriting Terms and Conditions document (make sure it is the updated form).
• Review form. If needed, make revisions, reprint and review again.
• If satisfactory, set status.</t>
        </r>
        <r>
          <rPr>
            <b/>
            <sz val="9"/>
            <color indexed="81"/>
            <rFont val="Tahoma"/>
            <family val="2"/>
          </rPr>
          <t xml:space="preserve">
</t>
        </r>
        <r>
          <rPr>
            <sz val="9"/>
            <color indexed="81"/>
            <rFont val="Tahoma"/>
            <family val="2"/>
          </rPr>
          <t xml:space="preserve">
</t>
        </r>
      </text>
    </comment>
    <comment ref="E157" authorId="0" shapeId="0" xr:uid="{CE913BD2-7354-425D-A539-3383B8A95652}">
      <text>
        <r>
          <rPr>
            <sz val="9"/>
            <color indexed="81"/>
            <rFont val="Tahoma"/>
            <family val="2"/>
          </rPr>
          <t xml:space="preserve">Press F5 any time in the loan review to get there
#2: Internal Underwriter Comments – UW adds review comments here
o The comments here do not print anywhere on the loan. UW should enter comments here to support the loan approval decision, appraisal review comments, or any other notes you want to have in the system. For Wholesale, this section is also where the CUS/Jr UW adds commentary.
Put appraisal notes, income notes, Compensating factors, Fraudgauard notes here for both TOTAL and Manual UW
</t>
        </r>
        <r>
          <rPr>
            <b/>
            <sz val="9"/>
            <color indexed="81"/>
            <rFont val="Tahoma"/>
            <family val="2"/>
          </rPr>
          <t xml:space="preserve">
</t>
        </r>
        <r>
          <rPr>
            <sz val="9"/>
            <color indexed="81"/>
            <rFont val="Tahoma"/>
            <family val="2"/>
          </rPr>
          <t xml:space="preserve">
</t>
        </r>
      </text>
    </comment>
    <comment ref="E158" authorId="0" shapeId="0" xr:uid="{994FA71C-6BCC-4E86-A87D-0EFCFBF21BC8}">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E159" authorId="0" shapeId="0" xr:uid="{1377A00C-8425-41AC-8FF3-5050AC72B9DD}">
      <text>
        <r>
          <rPr>
            <sz val="9"/>
            <color indexed="81"/>
            <rFont val="Tahoma"/>
            <family val="2"/>
          </rPr>
          <t>#6:  General Text &amp; Other Comments – UWs add Income Calculation comments here
o #3:   Transmittal Comments-Conv Full Doc Loans
o #7:   VA Loan Analysis Comments
o #11: Mort Cred Analysis-FHA (USE THIS ONE)
o #27: Hold Harmless Agreement-Disaster Area
For Total loans, put compensating factors here in additiont to income notes</t>
        </r>
      </text>
    </comment>
    <comment ref="C162" authorId="0" shapeId="0" xr:uid="{CD53E64C-4E32-46F6-B6BE-26B998FB9E0B}">
      <text>
        <r>
          <rPr>
            <sz val="9"/>
            <color indexed="81"/>
            <rFont val="Tahoma"/>
            <family val="2"/>
          </rPr>
          <t>Should be "none" unless there is a special loan product</t>
        </r>
        <r>
          <rPr>
            <sz val="9"/>
            <color indexed="81"/>
            <rFont val="Tahoma"/>
            <family val="2"/>
          </rPr>
          <t xml:space="preserve">
</t>
        </r>
      </text>
    </comment>
    <comment ref="C163" authorId="0" shapeId="0" xr:uid="{B0A01DCA-7CA4-4216-9A9A-3DD698EE8D77}">
      <text>
        <r>
          <rPr>
            <sz val="9"/>
            <color indexed="81"/>
            <rFont val="Tahoma"/>
            <family val="2"/>
          </rPr>
          <t xml:space="preserve">Full Doc
HOPE
Prior FHA Refinance
Steamline w/ Appraisal
Streamline w/o Appraisal
</t>
        </r>
      </text>
    </comment>
    <comment ref="C164" authorId="0" shapeId="0" xr:uid="{CAAEF9A1-6208-4ABA-804D-888C02D6CF94}">
      <text>
        <r>
          <rPr>
            <sz val="9"/>
            <color indexed="81"/>
            <rFont val="Tahoma"/>
            <family val="2"/>
          </rPr>
          <t xml:space="preserve">o Be sure Street Name is just the street and the Street Direction &amp; Type are on their own line or you will get an error when running address validation.
o If changes are made to the county in this screen you will need to re-enter the taxes on the tax screen.
o Property address should be checked against address on Title or other third-party documentation
</t>
        </r>
      </text>
    </comment>
    <comment ref="C165" authorId="0" shapeId="0" xr:uid="{3848657D-1FFF-4865-A479-DAA3BF24B78D}">
      <text>
        <r>
          <rPr>
            <sz val="9"/>
            <color indexed="81"/>
            <rFont val="Tahoma"/>
            <family val="2"/>
          </rPr>
          <t>**ignore on initial review if there is no appraisal on file**
Check Property Type ((tab for pop-up to select property Type) Single Family, Condominium, Co-Op, 2-4 Family, Condo – Hotel, Modular Home, Mobile Home, Detached Condo.
• Manufactured Homes- Need Make, Model # and VIN#.
• PUDs: Note for FHA – do not select FNMA or FHLMC ProjClas. Press home to 
skip over this section, if selected you will receive a hard stop. 
Gov’t Housing Type (Attached, Detached or Semi Detached).
Number of Units. 
Tab for popup to select the number of residential units (Bedroom count will be added to this section and validation source). Gross Rent if applicable (2-4 unit).
Year Built. 
Screen pop up: add/ verify Gross Living Area &amp; Lot Size.(Use Appraisal for this if on file)
Lien Type: Enter Lien Type
Property Cash Flow – Used for 2–4 unit with rental income, skip if N/A (positive income &gt; enter amt, losses &gt; enter as negative amt).</t>
        </r>
        <r>
          <rPr>
            <b/>
            <sz val="9"/>
            <color indexed="81"/>
            <rFont val="Tahoma"/>
            <family val="2"/>
          </rPr>
          <t xml:space="preserve">
</t>
        </r>
        <r>
          <rPr>
            <sz val="9"/>
            <color indexed="81"/>
            <rFont val="Tahoma"/>
            <family val="2"/>
          </rPr>
          <t xml:space="preserve">
</t>
        </r>
      </text>
    </comment>
    <comment ref="C166" authorId="0" shapeId="0" xr:uid="{2BBBB450-E5C8-41B9-9D77-3472E2CBE716}">
      <text>
        <r>
          <rPr>
            <sz val="9"/>
            <color indexed="81"/>
            <rFont val="Tahoma"/>
            <family val="2"/>
          </rPr>
          <t>o Run at initial UW, correct any errors (if applicable) in the Subject Property Address screen.
o If previously run - Press [Insert] and then press [Enter] on “Yes”.</t>
        </r>
        <r>
          <rPr>
            <b/>
            <sz val="9"/>
            <color indexed="81"/>
            <rFont val="Tahoma"/>
            <family val="2"/>
          </rPr>
          <t xml:space="preserve">
</t>
        </r>
        <r>
          <rPr>
            <sz val="9"/>
            <color indexed="81"/>
            <rFont val="Tahoma"/>
            <family val="2"/>
          </rPr>
          <t xml:space="preserve">
</t>
        </r>
      </text>
    </comment>
    <comment ref="C167" authorId="0" shapeId="0" xr:uid="{DE373D8E-1D20-4A2D-AD2A-7447ABFF7527}">
      <text>
        <r>
          <rPr>
            <sz val="9"/>
            <color indexed="81"/>
            <rFont val="Tahoma"/>
            <family val="2"/>
          </rPr>
          <t xml:space="preserve">Obtain non-borrowing spouse credit report to include all debts
-Need Non-Borrowering Spouse consent form(consent to verify SSN w/ 1098SSA)
-Not submitted to Total Scorecard
Louisiana, Arizona, California, Texas, Washington, Idaho, Nevada, New Mexico, and Wisconsin
Client Info&gt;Additional Borrower info&gt;Additional personal Info. This will show Yes or No. </t>
        </r>
      </text>
    </comment>
    <comment ref="C168" authorId="0" shapeId="0" xr:uid="{5B70E50C-F11E-43FF-BB4F-CD8C7895D562}">
      <text>
        <r>
          <rPr>
            <sz val="9"/>
            <color indexed="81"/>
            <rFont val="Tahoma"/>
            <family val="2"/>
          </rPr>
          <t xml:space="preserve">o For Purchases, Loan Purpose will either show as a Purchase, or Prequalification.
o Loan purpose field opens to Refinance Loan Info screen when Purpose type is Refinance.
    • Refinance Loan Info.
         -Enter or verify Information against documentation in loan file.
         -Original Cost. (sale price of when they purchased the home)
         -Previous Loan Type. (**DO NOT NEED prev investor info**)
         -Purpose of Refinance.
         -Original Mortgage Amount        
         -Original P&amp;I.          
         -Original Amortization.           
         -Refi with Original Creditor? FMC to FMC = Yes (check title).
         -Original Rate.
         -Next Change Date (if current loan is an ARM).
</t>
        </r>
      </text>
    </comment>
    <comment ref="E168" authorId="0" shapeId="0" xr:uid="{4EE99218-9B7D-4D3C-9900-D08B71C03420}">
      <text>
        <r>
          <rPr>
            <sz val="9"/>
            <color indexed="81"/>
            <rFont val="Tahoma"/>
            <family val="2"/>
          </rPr>
          <t xml:space="preserve">Total = ZFHA
Manual = Chums
</t>
        </r>
      </text>
    </comment>
    <comment ref="E169" authorId="0" shapeId="0" xr:uid="{0268B5E8-9D94-47CC-BA43-3E2D28BB5023}">
      <text>
        <r>
          <rPr>
            <sz val="9"/>
            <color indexed="81"/>
            <rFont val="Tahoma"/>
            <family val="2"/>
          </rPr>
          <t>Underwriting&gt;Print Loan Docs&gt;Print Via Docutech&gt;Ad-Hoc Underwriting</t>
        </r>
        <r>
          <rPr>
            <sz val="9"/>
            <color indexed="81"/>
            <rFont val="Tahoma"/>
            <family val="2"/>
          </rPr>
          <t xml:space="preserve">
</t>
        </r>
      </text>
    </comment>
    <comment ref="E170" authorId="0" shapeId="0" xr:uid="{399A155D-DC0B-4DD7-9DE4-7CD5C06724E8}">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C172" authorId="0" shapeId="0" xr:uid="{E0D71858-D1A1-41D5-B21C-AAF6633C95AC}">
      <text>
        <r>
          <rPr>
            <sz val="9"/>
            <color indexed="81"/>
            <rFont val="Tahoma"/>
            <family val="2"/>
          </rPr>
          <t xml:space="preserve">Used for downpayments
If there is ever a gift, it </t>
        </r>
        <r>
          <rPr>
            <u/>
            <sz val="9"/>
            <color indexed="81"/>
            <rFont val="Tahoma"/>
            <family val="2"/>
          </rPr>
          <t>MUST</t>
        </r>
        <r>
          <rPr>
            <sz val="9"/>
            <color indexed="81"/>
            <rFont val="Tahoma"/>
            <family val="2"/>
          </rPr>
          <t xml:space="preserve"> be entered on this screen
Press Insert to Enter Additional Source
-FHA-Gift-Source-Relative
If receiving a gift, Funds Source will always be gift and the full amount of the gift will be listed. Then when you get to assets, if the gift has already been deposited just enter the Borrower&gt;Checking/Savings account as normal and keep FHA gift funds as is as the system will back out the funds automatically.</t>
        </r>
      </text>
    </comment>
    <comment ref="C173" authorId="0" shapeId="0" xr:uid="{84CE962E-7DAF-4900-840C-30FC8AC17BF9}">
      <text>
        <r>
          <rPr>
            <sz val="9"/>
            <color indexed="81"/>
            <rFont val="Tahoma"/>
            <family val="2"/>
          </rPr>
          <t>o Inter Vivos Revocable Trust – Change to Yes if closing in Trust (must have Trust verbiage to complete. If information not yet available, leave as No).</t>
        </r>
        <r>
          <rPr>
            <sz val="9"/>
            <color indexed="81"/>
            <rFont val="Tahoma"/>
            <family val="2"/>
          </rPr>
          <t xml:space="preserve">
</t>
        </r>
      </text>
    </comment>
    <comment ref="C178" authorId="0" shapeId="0" xr:uid="{82C65D18-AD2B-4DE9-BCD8-A6E61864BBFE}">
      <text>
        <r>
          <rPr>
            <sz val="9"/>
            <color indexed="81"/>
            <rFont val="Tahoma"/>
            <family val="2"/>
          </rPr>
          <t>Accessed if there is an escrow credit on the Payoff or seller paid fees must be allocated.
Previous Escrow Credit(This is when the seller contributions EXCEEDS either the 6% product max, or the Closing Cost+Estimated Prepaids
o Press [Insert] and select “214 Previous Escrows credit”, press [Enter]
o Enter amount of escrow credit shown on Payoff at “Buyer” under “PAC”, Press [Home]
o Make sure amount is shown for “Third Party” under “PAC” (enter if needed)
o Press [Home] until you return to “Registration / Underwriting” menu
Allocate Fees (initial underwrite of purchase transaction with seller pad fees) - COMPLETE
Seller paid contributions cannot exceed Closing cost(est)+Estimated Prepaid Items(which both are located on the Details of Transaction Screen)</t>
        </r>
      </text>
    </comment>
    <comment ref="C179" authorId="0" shapeId="0" xr:uid="{3F5DC008-2C5C-4321-84AF-90236011959E}">
      <text>
        <r>
          <rPr>
            <sz val="9"/>
            <color indexed="81"/>
            <rFont val="Tahoma"/>
            <family val="2"/>
          </rPr>
          <t>o Review “Other Credits” field
o Press [Enter] through screen down to “Other Credits”, Press [Tab]
o If a dollar amount is listed, remove unless specifically instructed to include it
o To remove, press [Enter] until the cursor is on the dollar amount, change figure to $0.00</t>
        </r>
        <r>
          <rPr>
            <b/>
            <sz val="9"/>
            <color indexed="81"/>
            <rFont val="Tahoma"/>
            <family val="2"/>
          </rPr>
          <t xml:space="preserve">
</t>
        </r>
        <r>
          <rPr>
            <sz val="9"/>
            <color indexed="81"/>
            <rFont val="Tahoma"/>
            <family val="2"/>
          </rPr>
          <t xml:space="preserve">
</t>
        </r>
      </text>
    </comment>
    <comment ref="C180" authorId="0" shapeId="0" xr:uid="{27A52B1B-6D35-413D-A731-5FF0843076FD}">
      <text>
        <r>
          <rPr>
            <sz val="9"/>
            <color indexed="81"/>
            <rFont val="Tahoma"/>
            <family val="2"/>
          </rPr>
          <t xml:space="preserve">Proposed Housing Exp
</t>
        </r>
      </text>
    </comment>
    <comment ref="C185" authorId="0" shapeId="0" xr:uid="{C818296A-2558-402A-80A6-847578B35736}">
      <text>
        <r>
          <rPr>
            <sz val="9"/>
            <color indexed="81"/>
            <rFont val="Tahoma"/>
            <family val="2"/>
          </rPr>
          <t xml:space="preserve">if there is an error (shows in red) you will need to fix it in one of the screens in #13 FHA Information.
</t>
        </r>
      </text>
    </comment>
    <comment ref="C186" authorId="0" shapeId="0" xr:uid="{C65A8A77-EC23-4323-9C27-6F7EEE70498F}">
      <text>
        <r>
          <rPr>
            <sz val="9"/>
            <color indexed="81"/>
            <rFont val="Tahoma"/>
            <family val="2"/>
          </rPr>
          <t>o Update Additional Conditions-tab in to answer yes to #7 unless investment then #5 is yes then home out (for refinances). Answer yes to appropriate questions if purchase New Construction.
-First 4 options are for new contruction
-#5 is for investments
Most times everything will be "N" except for #7</t>
        </r>
      </text>
    </comment>
    <comment ref="C187" authorId="0" shapeId="0" xr:uid="{0F6E06BD-FDB7-485D-893E-9023B60767A7}">
      <text>
        <r>
          <rPr>
            <sz val="9"/>
            <color indexed="81"/>
            <rFont val="Tahoma"/>
            <family val="2"/>
          </rPr>
          <t xml:space="preserve">o Select borrower (repeat for co-borrower if applicable)
#1 Credit Alert Number
 Verify acceptable CAIVRS number 
</t>
        </r>
      </text>
    </comment>
    <comment ref="C188" authorId="0" shapeId="0" xr:uid="{F4494CCA-FD2F-40F1-A5C1-F745A64F490E}">
      <text>
        <r>
          <rPr>
            <sz val="9"/>
            <color indexed="81"/>
            <rFont val="Tahoma"/>
            <family val="2"/>
          </rPr>
          <t xml:space="preserve">Lead Paint Disclosure
</t>
        </r>
      </text>
    </comment>
    <comment ref="C189" authorId="0" shapeId="0" xr:uid="{C716AE49-23CB-49AF-8767-0BB644FD0CCE}">
      <text>
        <r>
          <rPr>
            <sz val="9"/>
            <color indexed="81"/>
            <rFont val="Tahoma"/>
            <family val="2"/>
          </rPr>
          <t xml:space="preserve">Run #10 Refi Authorization on FHA Information Screen before completing these screens)
 #1 Refinance Loan Information
o Information listed is for current existing loan being refinanced
o If information is missing, complete fields by using documentation in loan file (i.e., Mortgage Note, Mortgage Statement, Case Query on existing loan)
#2 FHA MIP Refund
o Additional information for existing loan being refinanced
o First Payment Date
o MIP Refund from Refinance Authorization
</t>
        </r>
        <r>
          <rPr>
            <sz val="9"/>
            <color indexed="81"/>
            <rFont val="Tahoma"/>
            <family val="2"/>
          </rPr>
          <t xml:space="preserve">
</t>
        </r>
      </text>
    </comment>
    <comment ref="C190" authorId="0" shapeId="0" xr:uid="{266E9276-530D-4C6F-9B1A-75CCE0341DE7}">
      <text>
        <r>
          <rPr>
            <sz val="9"/>
            <color indexed="81"/>
            <rFont val="Tahoma"/>
            <family val="2"/>
          </rPr>
          <t xml:space="preserve">FHA Max Mortgage Information (FHA-to-FHA Refinances only – e.g. Streamlines)
• Information carries over from the REO Payoff screen
• Verify </t>
        </r>
        <r>
          <rPr>
            <u/>
            <sz val="9"/>
            <color indexed="81"/>
            <rFont val="Tahoma"/>
            <family val="2"/>
          </rPr>
          <t>Actual Base Amount is between Min Base and Max Base Amount</t>
        </r>
        <r>
          <rPr>
            <sz val="9"/>
            <color indexed="81"/>
            <rFont val="Tahoma"/>
            <family val="2"/>
          </rPr>
          <t xml:space="preserve"> &amp; do not use cents.
• If you need to change the loan amount (Streamlines) you can arrow down to Actual Base Loan Amount and Tab to bring you into the Mortgage Type/Loan Terms screen and you can change your loan amount there.  If you do make a change at this point in your review be sure to Control P to reset UFMIP for new loan amount. You can then press HOME and it will bring you back to government screen.
    ***Make sure to CNTRL+P if changing loan amounts***
</t>
        </r>
      </text>
    </comment>
    <comment ref="C191" authorId="0" shapeId="0" xr:uid="{CF78FAAC-951D-4842-929E-4E58A4228F91}">
      <text>
        <r>
          <rPr>
            <sz val="9"/>
            <color indexed="81"/>
            <rFont val="Tahoma"/>
            <family val="2"/>
          </rPr>
          <t xml:space="preserve">Verify that it reports Success. 
</t>
        </r>
      </text>
    </comment>
    <comment ref="C192" authorId="0" shapeId="0" xr:uid="{B86D5ACF-26BA-43A5-B7E4-36D45708E806}">
      <text>
        <r>
          <rPr>
            <sz val="9"/>
            <color indexed="81"/>
            <rFont val="Tahoma"/>
            <family val="2"/>
          </rPr>
          <t xml:space="preserve">o Verify CAIVRS shows Status of SuccessNoUpdate
o CAIVRS is </t>
        </r>
        <r>
          <rPr>
            <u/>
            <sz val="9"/>
            <color indexed="81"/>
            <rFont val="Tahoma"/>
            <family val="2"/>
          </rPr>
          <t>not rerun</t>
        </r>
        <r>
          <rPr>
            <sz val="9"/>
            <color indexed="81"/>
            <rFont val="Tahoma"/>
            <family val="2"/>
          </rPr>
          <t xml:space="preserve"> throughout loan process but should be rerun at Final Approval by pressing Insert
• When loan is Final Approved, the CAIVRS record automatically indexes as a document in EDMS
</t>
        </r>
      </text>
    </comment>
    <comment ref="C193" authorId="0" shapeId="0" xr:uid="{6C76E71B-2570-4FB4-8ECB-AC320C888DD2}">
      <text>
        <r>
          <rPr>
            <sz val="9"/>
            <color indexed="81"/>
            <rFont val="Tahoma"/>
            <family val="2"/>
          </rPr>
          <t>: Case Query-run every time you touch file (initial and resubs)
o Insert to Run, Press Enter  
o Status of SUCCESS needed, if Status returns Invalid Data, Press Enter to review reasons for Invalid Data Status
o Review Results for any messages, warnings, confirm MIP factors are correct
o Potential warnings that may appear include Originator or Sponsor ID on FHA Case assignment does not match Lakewood &amp; must be corrected. Another warning may be FHA Case Assignment was received (ordered) prior to application date which would require additional information or explanation to correct.</t>
        </r>
        <r>
          <rPr>
            <b/>
            <sz val="9"/>
            <color indexed="81"/>
            <rFont val="Tahoma"/>
            <family val="2"/>
          </rPr>
          <t xml:space="preserve">
</t>
        </r>
      </text>
    </comment>
    <comment ref="C194" authorId="0" shapeId="0" xr:uid="{676B7292-6DEA-4582-9FBC-6D00D08D1F75}">
      <text>
        <r>
          <rPr>
            <sz val="9"/>
            <color indexed="81"/>
            <rFont val="Tahoma"/>
            <family val="2"/>
          </rPr>
          <t xml:space="preserve">verify info every time you touch file (refinances only)
o Insert
o Run for month closing (ex. Loan closing in May so Refinance Authorization should have May as 1st date).
o Make sure there is a SUCCESS rating
Unearned is what has not yet been paid to HUD yet
</t>
        </r>
        <r>
          <rPr>
            <b/>
            <sz val="9"/>
            <color indexed="81"/>
            <rFont val="Tahoma"/>
            <family val="2"/>
          </rPr>
          <t xml:space="preserve">
</t>
        </r>
        <r>
          <rPr>
            <sz val="9"/>
            <color indexed="81"/>
            <rFont val="Tahoma"/>
            <family val="2"/>
          </rPr>
          <t xml:space="preserve">
</t>
        </r>
      </text>
    </comment>
    <comment ref="C195" authorId="0" shapeId="0" xr:uid="{B2139FFB-2B2C-4019-8B29-547EE0691327}">
      <text>
        <r>
          <rPr>
            <sz val="9"/>
            <color indexed="81"/>
            <rFont val="Tahoma"/>
            <family val="2"/>
          </rPr>
          <t>run every time you touch file
o Insert
o Select YES &amp; YES       
o Tells you if more than one case # is open for borrower</t>
        </r>
        <r>
          <rPr>
            <b/>
            <sz val="9"/>
            <color indexed="81"/>
            <rFont val="Tahoma"/>
            <family val="2"/>
          </rPr>
          <t xml:space="preserve">
</t>
        </r>
        <r>
          <rPr>
            <sz val="9"/>
            <color indexed="81"/>
            <rFont val="Tahoma"/>
            <family val="2"/>
          </rPr>
          <t xml:space="preserve">
</t>
        </r>
      </text>
    </comment>
    <comment ref="C196" authorId="0" shapeId="0" xr:uid="{7FD49326-9D62-47CE-BE96-FBAA077A1F62}">
      <text>
        <r>
          <rPr>
            <sz val="9"/>
            <color indexed="81"/>
            <rFont val="Tahoma"/>
            <family val="2"/>
          </rPr>
          <t xml:space="preserve">o Update and/or verify Hazard Insurance and Flood Insurance
• Press [Enter] on applicable insurance and complete from the Insurance policy
 Hazard insurance, escrow disbursement date may be edited by pressing [Enter]. Disbursement date is expiration date of current policy. </t>
        </r>
        <r>
          <rPr>
            <b/>
            <sz val="9"/>
            <color indexed="81"/>
            <rFont val="Tahoma"/>
            <family val="2"/>
          </rPr>
          <t xml:space="preserve">
</t>
        </r>
        <r>
          <rPr>
            <sz val="9"/>
            <color indexed="81"/>
            <rFont val="Tahoma"/>
            <family val="2"/>
          </rPr>
          <t xml:space="preserve">
</t>
        </r>
      </text>
    </comment>
    <comment ref="C197" authorId="0" shapeId="0" xr:uid="{118AC9F5-9DD6-4F0E-89CC-FF380B23DFFC}">
      <text>
        <r>
          <rPr>
            <sz val="9"/>
            <color indexed="81"/>
            <rFont val="Tahoma"/>
            <family val="2"/>
          </rPr>
          <t>Anticipated Closing Date - Use the purchase agreement date - Only thing we need to update on this screen unless there is a financing contingency date
o Estimated Market Value used for qualifying is listed in this screen. Do not change.
Appraisal Value Section:
o Appraised Value – NOTE: This screen can also be accessed through Appraisal Information screen.
• Press [Tab], press [Enter] Appraisal Detail screen will appear.
• Enter or verify the following fields using appraisal. 
Priority (Must use Priority 001) Appraised Value
Lot Value (if provided) Replacement Value (if provided)
Appraisal Co Mgmt. Co (Appraisal Management Company)
Appraiser Name Appraiser Zip
Appraisal Date Document Reference (press [Tab], enter EAD information 
Appraisal License# Lender Name
Appraisal Type Approved By / Approval Date (underwriter, review date)
• The Approved By field must be the Underwriter completing the Conditional Commitment.
o Press [Home] repeatedly until back to Loan Information Screen.
o Anticipated Closing Date/Scheduled Disbursement Date.</t>
        </r>
        <r>
          <rPr>
            <b/>
            <sz val="9"/>
            <color indexed="81"/>
            <rFont val="Tahoma"/>
            <family val="2"/>
          </rPr>
          <t xml:space="preserve"> **make sure both Anticipated Closing date &amp; Scheduled Closing are entered**</t>
        </r>
        <r>
          <rPr>
            <sz val="9"/>
            <color indexed="81"/>
            <rFont val="Tahoma"/>
            <family val="2"/>
          </rPr>
          <t xml:space="preserve">
o Collect Mtg. Insurance = Yes. Press [Enter].
• Opens to MI Tables screen.
 Verify correct plan has been selected based on FHA Case Assignment date and loan amount. Correct if needed.</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Troy Mcbrair</author>
    <author>Troy McBrair</author>
  </authors>
  <commentList>
    <comment ref="C4" authorId="0" shapeId="0" xr:uid="{9BD2A7A1-4477-4BEC-962B-291067FCDAAC}">
      <text>
        <r>
          <rPr>
            <b/>
            <sz val="9"/>
            <color indexed="81"/>
            <rFont val="Tahoma"/>
            <family val="2"/>
          </rPr>
          <t>Date which the broker/banker submits the app</t>
        </r>
        <r>
          <rPr>
            <sz val="9"/>
            <color indexed="81"/>
            <rFont val="Tahoma"/>
            <family val="2"/>
          </rPr>
          <t xml:space="preserve">
</t>
        </r>
      </text>
    </comment>
    <comment ref="A8" authorId="0" shapeId="0" xr:uid="{5A9EAAC8-51DC-469D-85AE-F5801D6B8523}">
      <text>
        <r>
          <rPr>
            <sz val="9"/>
            <color indexed="81"/>
            <rFont val="Tahoma"/>
            <family val="2"/>
          </rPr>
          <t>Review who's seen the loan and what is going on</t>
        </r>
        <r>
          <rPr>
            <sz val="9"/>
            <color indexed="81"/>
            <rFont val="Tahoma"/>
            <family val="2"/>
          </rPr>
          <t xml:space="preserve">
</t>
        </r>
      </text>
    </comment>
    <comment ref="C8" authorId="1" shapeId="0" xr:uid="{280302F5-7CD7-4965-94E6-F7067870FBB9}">
      <text>
        <r>
          <rPr>
            <sz val="9"/>
            <color indexed="81"/>
            <rFont val="Tahoma"/>
            <family val="2"/>
          </rPr>
          <t xml:space="preserve">Gaps &gt;6mo no longer required to be analyzed
</t>
        </r>
      </text>
    </comment>
    <comment ref="D8" authorId="1" shapeId="0" xr:uid="{13BD6EE8-FA14-466D-BDFB-2DC3D5079B0B}">
      <text>
        <r>
          <rPr>
            <sz val="9"/>
            <color indexed="81"/>
            <rFont val="Tahoma"/>
            <family val="2"/>
          </rPr>
          <t xml:space="preserve">Review Roll in Closing Cost Preferences
If they choose no, than we would have assets
If they choose Yes, than we would not need to review assets
If cust elected to roll in closing costs and assets are still required
1)Internal Tasks under Assets
2)Custom
3)Checkbox to Acknowledge
4)Inbound
5)“Please acknowledge borrower has elected to roll in closing costs, please adjust loan amount”
</t>
        </r>
        <r>
          <rPr>
            <sz val="9"/>
            <color indexed="81"/>
            <rFont val="Tahoma"/>
            <family val="2"/>
          </rPr>
          <t xml:space="preserve">
</t>
        </r>
      </text>
    </comment>
    <comment ref="G8" authorId="1" shapeId="0" xr:uid="{5905CF06-A851-4CEE-B648-63A2CF13DD02}">
      <text>
        <r>
          <rPr>
            <sz val="9"/>
            <color indexed="81"/>
            <rFont val="Tahoma"/>
            <family val="2"/>
          </rPr>
          <t>Conventional Input Form</t>
        </r>
        <r>
          <rPr>
            <sz val="9"/>
            <color indexed="81"/>
            <rFont val="Tahoma"/>
            <family val="2"/>
          </rPr>
          <t xml:space="preserve">
</t>
        </r>
      </text>
    </comment>
    <comment ref="F9" authorId="1" shapeId="0" xr:uid="{9DFE1E8C-F15F-4719-8640-0A3CCAD8DDC0}">
      <text>
        <r>
          <rPr>
            <sz val="9"/>
            <color indexed="81"/>
            <rFont val="Tahoma"/>
            <family val="2"/>
          </rPr>
          <t>If it isn’t updated, slack the PE directly and ask them to save it. If they are taking a while to answer, you may reach out to their manager. If significant time has passed with no reply, you may incomplete the final.</t>
        </r>
        <r>
          <rPr>
            <b/>
            <sz val="9"/>
            <color indexed="81"/>
            <rFont val="Tahoma"/>
            <family val="2"/>
          </rPr>
          <t xml:space="preserve">
</t>
        </r>
        <r>
          <rPr>
            <sz val="9"/>
            <color indexed="81"/>
            <rFont val="Tahoma"/>
            <family val="2"/>
          </rPr>
          <t xml:space="preserve">
</t>
        </r>
      </text>
    </comment>
    <comment ref="A10" authorId="1" shapeId="0" xr:uid="{B6888800-EE4C-433B-BF2C-77BAB1B8B693}">
      <text>
        <r>
          <rPr>
            <b/>
            <sz val="9"/>
            <color indexed="81"/>
            <rFont val="Tahoma"/>
            <family val="2"/>
          </rPr>
          <t xml:space="preserve">Repeat Borrower
</t>
        </r>
        <r>
          <rPr>
            <sz val="9"/>
            <color indexed="81"/>
            <rFont val="Tahoma"/>
            <family val="2"/>
          </rPr>
          <t xml:space="preserve">Click the borrower icon which opens up the page of all the past loans
If there is another loan in progress, would need the cancelation agreement
If the application reports withdrawn, no further action required
</t>
        </r>
        <r>
          <rPr>
            <b/>
            <sz val="9"/>
            <color indexed="81"/>
            <rFont val="Tahoma"/>
            <family val="2"/>
          </rPr>
          <t>Concurrent Borrower</t>
        </r>
        <r>
          <rPr>
            <sz val="9"/>
            <color indexed="81"/>
            <rFont val="Tahoma"/>
            <family val="2"/>
          </rPr>
          <t xml:space="preserve">
Multiple active loans</t>
        </r>
        <r>
          <rPr>
            <b/>
            <sz val="9"/>
            <color indexed="81"/>
            <rFont val="Tahoma"/>
            <family val="2"/>
          </rPr>
          <t xml:space="preserve">
</t>
        </r>
        <r>
          <rPr>
            <sz val="9"/>
            <color indexed="81"/>
            <rFont val="Tahoma"/>
            <family val="2"/>
          </rPr>
          <t xml:space="preserve">
</t>
        </r>
      </text>
    </comment>
    <comment ref="B10" authorId="0" shapeId="0" xr:uid="{E3375A82-2DE8-4F4C-8874-0DF86FCA7425}">
      <text>
        <r>
          <rPr>
            <sz val="9"/>
            <color indexed="81"/>
            <rFont val="Tahoma"/>
            <family val="2"/>
          </rPr>
          <t xml:space="preserve">For any debt that does not report months(like revolving), enter 12
</t>
        </r>
      </text>
    </comment>
    <comment ref="F10" authorId="1" shapeId="0" xr:uid="{9AB391D9-2E2D-4017-8B68-BA9AE0031CB4}">
      <text>
        <r>
          <rPr>
            <sz val="9"/>
            <color indexed="81"/>
            <rFont val="Tahoma"/>
            <family val="2"/>
          </rPr>
          <t>a. Match up CBR reference number
b. Make sure address matches number
c. Make sure LQI is within 10 days!!!!
d. Review new inquiries</t>
        </r>
        <r>
          <rPr>
            <b/>
            <sz val="9"/>
            <color indexed="81"/>
            <rFont val="Tahoma"/>
            <family val="2"/>
          </rPr>
          <t xml:space="preserve">
</t>
        </r>
        <r>
          <rPr>
            <sz val="9"/>
            <color indexed="81"/>
            <rFont val="Tahoma"/>
            <family val="2"/>
          </rPr>
          <t xml:space="preserve">
</t>
        </r>
      </text>
    </comment>
    <comment ref="C11" authorId="0" shapeId="0" xr:uid="{2CBF9E7E-83B7-4BFE-81DE-2B8AC577B505}">
      <text>
        <r>
          <rPr>
            <sz val="9"/>
            <color indexed="81"/>
            <rFont val="Tahoma"/>
            <family val="2"/>
          </rPr>
          <t xml:space="preserve">Source Date=Pay Period End Date
</t>
        </r>
      </text>
    </comment>
    <comment ref="A13" authorId="1" shapeId="0" xr:uid="{4DB13BE7-CC34-4B57-A97B-E610B880E815}">
      <text>
        <r>
          <rPr>
            <sz val="9"/>
            <color indexed="81"/>
            <rFont val="Tahoma"/>
            <family val="2"/>
          </rPr>
          <t>-Zillow Page
-LOX from cust regarding hoa dues and if property is in need of repairs</t>
        </r>
        <r>
          <rPr>
            <sz val="9"/>
            <color indexed="81"/>
            <rFont val="Tahoma"/>
            <family val="2"/>
          </rPr>
          <t xml:space="preserve">
</t>
        </r>
      </text>
    </comment>
    <comment ref="B14" authorId="0" shapeId="0" xr:uid="{8895B013-5B8F-40BA-9423-8D523B542E58}">
      <text>
        <r>
          <rPr>
            <sz val="9"/>
            <color indexed="81"/>
            <rFont val="Tahoma"/>
            <family val="2"/>
          </rPr>
          <t>&gt;=$1000 *Currently* Disputed Derogatory Accounts require a downgrade to manual. If dispute resolved and DU notices the tradeline, ok to proceed and "Not Include" in ratios</t>
        </r>
      </text>
    </comment>
    <comment ref="C14" authorId="0" shapeId="0" xr:uid="{A3FD5E64-7156-4A82-8021-8CAEF611633F}">
      <text>
        <r>
          <rPr>
            <sz val="9"/>
            <color indexed="81"/>
            <rFont val="Tahoma"/>
            <family val="2"/>
          </rPr>
          <t xml:space="preserve">Transmittal summary screen
</t>
        </r>
      </text>
    </comment>
    <comment ref="A15" authorId="0" shapeId="0" xr:uid="{CBE3DA9B-34BA-4B5B-9E6A-6D5DE55EFEC9}">
      <text>
        <r>
          <rPr>
            <sz val="9"/>
            <color indexed="81"/>
            <rFont val="Tahoma"/>
            <family val="2"/>
          </rPr>
          <t>Check to see if this is a R/T or a Cash out. Can only do cashout transaction if delayed financing is met</t>
        </r>
      </text>
    </comment>
    <comment ref="B15" authorId="0" shapeId="0" xr:uid="{0D726BD6-4CAF-438E-896D-A2E37D00B0D4}">
      <text>
        <r>
          <rPr>
            <sz val="9"/>
            <color indexed="81"/>
            <rFont val="Tahoma"/>
            <family val="2"/>
          </rPr>
          <t>IF total Collections &gt;2k, use 5% payment
If &lt;2k, zero out payment
Delete Medical Collections from VOL
MANUAL files require LOX's</t>
        </r>
      </text>
    </comment>
    <comment ref="B19" authorId="0" shapeId="0" xr:uid="{20DEF29F-9CA9-4F96-820F-1AEBE609B822}">
      <text>
        <r>
          <rPr>
            <sz val="9"/>
            <color indexed="81"/>
            <rFont val="Tahoma"/>
            <family val="2"/>
          </rPr>
          <t xml:space="preserve">Check the Date Acquired date on the Refinance screen when you Enter into the loan purpose
If refinancing the property &lt;12mo since the previous case number assignement, use the lessor of the purchase price or appraised value
</t>
        </r>
        <r>
          <rPr>
            <b/>
            <sz val="9"/>
            <color indexed="81"/>
            <rFont val="Tahoma"/>
            <family val="2"/>
          </rPr>
          <t>Use FHA Connection for the following information!</t>
        </r>
        <r>
          <rPr>
            <sz val="9"/>
            <color indexed="81"/>
            <rFont val="Tahoma"/>
            <family val="2"/>
          </rPr>
          <t xml:space="preserve">
General Information Applicable to All Streamline Refinances
(a) Mortgage Seasoning Requirements
On the date of the FHA case number assignment:
• the Borrower must have made </t>
        </r>
        <r>
          <rPr>
            <u/>
            <sz val="9"/>
            <color indexed="81"/>
            <rFont val="Tahoma"/>
            <family val="2"/>
          </rPr>
          <t>at least six payments</t>
        </r>
        <r>
          <rPr>
            <sz val="9"/>
            <color indexed="81"/>
            <rFont val="Tahoma"/>
            <family val="2"/>
          </rPr>
          <t xml:space="preserve"> on the FHA-insured Mortgage that is being refinanced;
• at least six full months must have passed since the first payment due date of the Mortgage that is being refinanced;
• at least 210 Days must have passed from the Closing Date of the Mortgage that is being refinanced; and
• if the Borrower assumed the Mortgage that is being refinanced, they must have made six payments since the time of assumption.</t>
        </r>
      </text>
    </comment>
    <comment ref="G19" authorId="1" shapeId="0" xr:uid="{318D2724-E821-4C90-A0A9-3CC76CDF8D12}">
      <text>
        <r>
          <rPr>
            <sz val="9"/>
            <color indexed="81"/>
            <rFont val="Tahoma"/>
            <family val="2"/>
          </rPr>
          <t>When a loan has mortgage insurance,
complete the Aggregate Setup section
● Input 2 for Tax and Haz Ins cushion
● Enter date one year out from the current date</t>
        </r>
        <r>
          <rPr>
            <sz val="9"/>
            <color indexed="81"/>
            <rFont val="Tahoma"/>
            <family val="2"/>
          </rPr>
          <t xml:space="preserve">
</t>
        </r>
      </text>
    </comment>
    <comment ref="A21" authorId="0" shapeId="0" xr:uid="{2518075A-DB3C-45B0-8B8B-7C39ED10688E}">
      <text>
        <r>
          <rPr>
            <sz val="9"/>
            <color indexed="81"/>
            <rFont val="Tahoma"/>
            <family val="2"/>
          </rPr>
          <t>Spouse to sign all applicable closing document TI</t>
        </r>
      </text>
    </comment>
    <comment ref="B22" authorId="0" shapeId="0" xr:uid="{52B2D669-9DC5-4164-B462-835D00D90295}">
      <text>
        <r>
          <rPr>
            <sz val="9"/>
            <color indexed="81"/>
            <rFont val="Tahoma"/>
            <family val="2"/>
          </rPr>
          <t xml:space="preserve">We will need to verify that the cust has sufficient assets to cover the charge account.
Back out AMEX balance from eligible assets or have customer provide proof that the balance has been paid in full
</t>
        </r>
      </text>
    </comment>
    <comment ref="B23" authorId="0" shapeId="0" xr:uid="{57EB202F-459D-4EA8-991C-4FB077D6FA9E}">
      <text>
        <r>
          <rPr>
            <sz val="9"/>
            <color indexed="81"/>
            <rFont val="Tahoma"/>
            <family val="2"/>
          </rPr>
          <t xml:space="preserve">Cannot Exclude with FHA if the remaining balance is &gt;5% of the income
</t>
        </r>
      </text>
    </comment>
    <comment ref="C23" authorId="1" shapeId="0" xr:uid="{050A8929-DCBC-4E33-8F26-3E803FBBB6A2}">
      <text>
        <r>
          <rPr>
            <sz val="9"/>
            <color indexed="81"/>
            <rFont val="Tahoma"/>
            <family val="2"/>
          </rPr>
          <t xml:space="preserve">-Confirmation from employer stating the customer is able to work remote permanently
-Working remote does not negatively impact the customer's current earnings/position
-Eliminate required commute  </t>
        </r>
      </text>
    </comment>
    <comment ref="E24" authorId="0" shapeId="0" xr:uid="{A3473214-364B-45B5-8AAA-D57C0BE30C83}">
      <text>
        <r>
          <rPr>
            <b/>
            <sz val="9"/>
            <color indexed="81"/>
            <rFont val="Tahoma"/>
            <family val="2"/>
          </rPr>
          <t>Primary Residence:</t>
        </r>
        <r>
          <rPr>
            <sz val="9"/>
            <color indexed="81"/>
            <rFont val="Tahoma"/>
            <family val="2"/>
          </rPr>
          <t xml:space="preserve">
9% of value when LTV/CLTV is &lt; = 75%.
6% of value when LTV/CLTV is &gt; 75% up to and including 90%.
3% of value when LTV/CLTV is &gt; 90%; HomePath: 6% of value when LTV/CLTV is &gt; 90%.
</t>
        </r>
        <r>
          <rPr>
            <b/>
            <sz val="9"/>
            <color indexed="81"/>
            <rFont val="Tahoma"/>
            <family val="2"/>
          </rPr>
          <t>Second Homes:</t>
        </r>
        <r>
          <rPr>
            <sz val="9"/>
            <color indexed="81"/>
            <rFont val="Tahoma"/>
            <family val="2"/>
          </rPr>
          <t xml:space="preserve">
9% of value when LTV/CLTV is &lt; = 75%.
6% of value when LTV/CLTV is &gt; 75% up to and including 90%.
</t>
        </r>
        <r>
          <rPr>
            <b/>
            <sz val="9"/>
            <color indexed="81"/>
            <rFont val="Tahoma"/>
            <family val="2"/>
          </rPr>
          <t>Investment Property:</t>
        </r>
        <r>
          <rPr>
            <sz val="9"/>
            <color indexed="81"/>
            <rFont val="Tahoma"/>
            <family val="2"/>
          </rPr>
          <t xml:space="preserve">
2% regardless of the LTV/CLTV
Refer to Credit Policy Announcement 18-12 for Lender Contribution requirements.
</t>
        </r>
      </text>
    </comment>
    <comment ref="A25" authorId="0" shapeId="0" xr:uid="{3580E8AA-EBB5-4FEA-B9CB-E02CF42ED87C}">
      <text>
        <r>
          <rPr>
            <sz val="9"/>
            <color indexed="81"/>
            <rFont val="Tahoma"/>
            <family val="2"/>
          </rPr>
          <t>1) Divorce Decree or Separatation agreement
2) PS covering atleast 28days</t>
        </r>
        <r>
          <rPr>
            <b/>
            <sz val="9"/>
            <color indexed="81"/>
            <rFont val="Tahoma"/>
            <family val="2"/>
          </rPr>
          <t xml:space="preserve">
</t>
        </r>
        <r>
          <rPr>
            <sz val="9"/>
            <color indexed="81"/>
            <rFont val="Tahoma"/>
            <family val="2"/>
          </rPr>
          <t xml:space="preserve">
Add as a liability</t>
        </r>
      </text>
    </comment>
    <comment ref="E25" authorId="0" shapeId="0" xr:uid="{4EDE2C06-9BD8-4FB5-93A8-44468CE2C482}">
      <text>
        <r>
          <rPr>
            <sz val="9"/>
            <color indexed="81"/>
            <rFont val="Tahoma"/>
            <family val="2"/>
          </rPr>
          <t>We must verify and document the deposit amount and source of funds</t>
        </r>
        <r>
          <rPr>
            <u/>
            <sz val="9"/>
            <color indexed="81"/>
            <rFont val="Tahoma"/>
            <family val="2"/>
          </rPr>
          <t xml:space="preserve"> if the amount of the earnest money deposit exceeds 1% of the sales price</t>
        </r>
        <r>
          <rPr>
            <sz val="9"/>
            <color indexed="81"/>
            <rFont val="Tahoma"/>
            <family val="2"/>
          </rPr>
          <t xml:space="preserve"> or is excessive based on the Borrower’s history of accumulating savings, by obtaining, OR funds are required for the MRD.</t>
        </r>
        <r>
          <rPr>
            <sz val="9"/>
            <color indexed="81"/>
            <rFont val="Tahoma"/>
            <family val="2"/>
          </rPr>
          <t xml:space="preserve">
1. A copy of the Borrower’s canceled check;
2. Certification from the deposit-holder acknowledging receipt of funds; 
3. Bank Statement showing funds leaving the account
</t>
        </r>
        <r>
          <rPr>
            <b/>
            <sz val="9"/>
            <color indexed="81"/>
            <rFont val="Tahoma"/>
            <family val="2"/>
          </rPr>
          <t>If we dont need to verify, back out the EMD from assets and document on Loan Transmittal Screen</t>
        </r>
      </text>
    </comment>
    <comment ref="F25" authorId="1" shapeId="0" xr:uid="{509092EE-B6CB-49A3-AB37-9E8D3F4A88E1}">
      <text>
        <r>
          <rPr>
            <sz val="9"/>
            <color indexed="81"/>
            <rFont val="Tahoma"/>
            <family val="2"/>
          </rPr>
          <t>i. Verified - Yes
ii. Is Final – Yes
iii. Check DTI/CLTV
iv. PIW Still on Loan</t>
        </r>
        <r>
          <rPr>
            <b/>
            <sz val="9"/>
            <color indexed="81"/>
            <rFont val="Tahoma"/>
            <family val="2"/>
          </rPr>
          <t xml:space="preserve">
</t>
        </r>
        <r>
          <rPr>
            <sz val="9"/>
            <color indexed="81"/>
            <rFont val="Tahoma"/>
            <family val="2"/>
          </rPr>
          <t xml:space="preserve">
</t>
        </r>
      </text>
    </comment>
    <comment ref="B26" authorId="0" shapeId="0" xr:uid="{9ABC275C-3B04-4CC9-A291-7FBB55DC403E}">
      <text>
        <r>
          <rPr>
            <sz val="9"/>
            <color indexed="81"/>
            <rFont val="Tahoma"/>
            <family val="2"/>
          </rPr>
          <t xml:space="preserve">Make sure all tradelines are dated current &lt;90days from the CBR date
</t>
        </r>
      </text>
    </comment>
    <comment ref="B28" authorId="0" shapeId="0" xr:uid="{060DC6D2-FFC1-4F29-A3FA-A90694EA9C7B}">
      <text>
        <r>
          <rPr>
            <sz val="9"/>
            <color indexed="81"/>
            <rFont val="Tahoma"/>
            <family val="2"/>
          </rPr>
          <t>If this is a cash-out, property must have been owned &gt;6mo</t>
        </r>
        <r>
          <rPr>
            <sz val="9"/>
            <color indexed="81"/>
            <rFont val="Tahoma"/>
            <family val="2"/>
          </rPr>
          <t xml:space="preserve">
</t>
        </r>
      </text>
    </comment>
    <comment ref="B29" authorId="0" shapeId="0" xr:uid="{FB89CC85-E00B-40CB-9B07-2B03AF146B3D}">
      <text>
        <r>
          <rPr>
            <sz val="9"/>
            <color indexed="81"/>
            <rFont val="Tahoma"/>
            <family val="2"/>
          </rPr>
          <t xml:space="preserve">Need to validate that the mtg we are paying off if this is a R/T, that the prior mtg was not a cash out, otherwise this is a cash out too
</t>
        </r>
      </text>
    </comment>
    <comment ref="E29" authorId="0" shapeId="0" xr:uid="{1A58453E-D195-447D-AF1B-AC31D8324ECE}">
      <text>
        <r>
          <rPr>
            <sz val="9"/>
            <color indexed="81"/>
            <rFont val="Tahoma"/>
            <family val="2"/>
          </rPr>
          <t xml:space="preserve">Enter seller credits on HUD Settlement fees under #523. Make sure total seller paid fees match the purchase agreement.
Any surplus over the product max, enter as #214
</t>
        </r>
      </text>
    </comment>
    <comment ref="B30" authorId="0" shapeId="0" xr:uid="{83E05DBC-F1A1-436E-9DF8-696A7F18B705}">
      <text>
        <r>
          <rPr>
            <sz val="9"/>
            <color indexed="81"/>
            <rFont val="Tahoma"/>
            <family val="2"/>
          </rPr>
          <t>• All USDA full-doc and streamline transactions, FHA and VA Purchases and Cash-Out
Refinances, Non-FMC to FMC Rate/Term, Simple Refinances, Streamlines, and Non-FMC
to FMC VA IRRRLs (3/25/2020 through 6/28/2020 require 640 minimum score):
o Minimum credit score of 600 for each borrower for both Standard and Jumbo
transactions (effective 6/29/2020);
• FHA FMC to FMC Rate/Term, Simple Refinances, credit-qualifying FMC to FMC FHA
Streamline and FMC to FMC VA IRRRL Refinances:
o Minimum credit score of 550 for each borrower for both Standard and Jumbo
transactions;
• FMC to FMC FHA Streamline (non-credit qualifying):
o No minimum credit score required;
• FHA and VA Manufactured Housing:
o Minimum credit score of 640 for each borrower for all transactions.</t>
        </r>
        <r>
          <rPr>
            <sz val="9"/>
            <color indexed="81"/>
            <rFont val="Tahoma"/>
            <family val="2"/>
          </rPr>
          <t xml:space="preserve">
</t>
        </r>
      </text>
    </comment>
    <comment ref="B31" authorId="0" shapeId="0" xr:uid="{FEB22C0B-B45D-40AD-98C3-8B02A7BE70B6}">
      <text>
        <r>
          <rPr>
            <b/>
            <sz val="9"/>
            <color indexed="81"/>
            <rFont val="Tahoma"/>
            <family val="2"/>
          </rPr>
          <t>Derogatory Event</t>
        </r>
        <r>
          <rPr>
            <sz val="9"/>
            <color indexed="81"/>
            <rFont val="Tahoma"/>
            <family val="2"/>
          </rPr>
          <t xml:space="preserve">                  Waiting Period Requirements             Waiting Period with Extenuating Circumstances
</t>
        </r>
        <r>
          <rPr>
            <b/>
            <sz val="9"/>
            <color indexed="81"/>
            <rFont val="Tahoma"/>
            <family val="2"/>
          </rPr>
          <t>Bankruptcy-Chapter  7 or11</t>
        </r>
        <r>
          <rPr>
            <sz val="9"/>
            <color indexed="81"/>
            <rFont val="Tahoma"/>
            <family val="2"/>
          </rPr>
          <t xml:space="preserve">                                  4 years                           2 years
</t>
        </r>
        <r>
          <rPr>
            <b/>
            <sz val="9"/>
            <color indexed="81"/>
            <rFont val="Tahoma"/>
            <family val="2"/>
          </rPr>
          <t>Bankruptcy-Chapter 13</t>
        </r>
        <r>
          <rPr>
            <sz val="9"/>
            <color indexed="81"/>
            <rFont val="Tahoma"/>
            <family val="2"/>
          </rPr>
          <t xml:space="preserve">               2 years from discharge date
                                                   4 years from dismissal date                        2 years from discharge date
                                                                                                                     2 years from dismissal date
</t>
        </r>
        <r>
          <rPr>
            <b/>
            <sz val="9"/>
            <color indexed="81"/>
            <rFont val="Tahoma"/>
            <family val="2"/>
          </rPr>
          <t>Multiple Bankruptcy Filings</t>
        </r>
        <r>
          <rPr>
            <sz val="9"/>
            <color indexed="81"/>
            <rFont val="Tahoma"/>
            <family val="2"/>
          </rPr>
          <t xml:space="preserve">   5 years if more than one filing within the past 7 years  ||  3 years from the most recent discharge or dismissal date
</t>
        </r>
        <r>
          <rPr>
            <b/>
            <sz val="9"/>
            <color indexed="81"/>
            <rFont val="Tahoma"/>
            <family val="2"/>
          </rPr>
          <t xml:space="preserve">
Foreclosure 1</t>
        </r>
        <r>
          <rPr>
            <sz val="9"/>
            <color indexed="81"/>
            <rFont val="Tahoma"/>
            <family val="2"/>
          </rPr>
          <t xml:space="preserve">                                                7 years                                                     3 years
                                                                                                                                    &gt;3 years up to 7 years:
                                                                                                                                       90% maximum LTV2
                                                                                                                             Purchase, principal residence
                                                                                                                    Limited cash-out refinance, all occupancy types
</t>
        </r>
        <r>
          <rPr>
            <b/>
            <sz val="9"/>
            <color indexed="81"/>
            <rFont val="Tahoma"/>
            <family val="2"/>
          </rPr>
          <t>Deed-in lieu of Foreclosure, Pre-foreclosure Sale/Short Sale, Charge-off of Mortgage account</t>
        </r>
        <r>
          <rPr>
            <sz val="9"/>
            <color indexed="81"/>
            <rFont val="Tahoma"/>
            <family val="2"/>
          </rPr>
          <t xml:space="preserve">
                                                                                4 years                                        2 years
1 When both a bankruptcy and foreclosure are disclosed on the loan application or when both appear on the credit report apply the bankruptcy waiting period if appropriate documentation is obtained to verify that the mortgage loan in question was discharged in the bankruptcy. Otherwise, the greater of the applicable bankruptcy or foreclosure waiting period must be applied.
2 The maximum LTV permitted is the lesser of the LTV ratios in this table or the maximum LTV ratios for the transaction per the maximum LTV/CLTV chart in this document.
3 For manually underwritten loans, the waiting period commences on the completion, discharge or dismissal date (as applicable) of the derogatory credit event and ends on the disbursement date of the new loan; refer to Fannie Mae Selling Guide section B3-5.3-07 for details.</t>
        </r>
      </text>
    </comment>
    <comment ref="E31" authorId="0" shapeId="0" xr:uid="{3B951A1F-A4A7-4560-B209-9F0BC9DECCCD}">
      <text>
        <r>
          <rPr>
            <sz val="9"/>
            <color indexed="81"/>
            <rFont val="Tahoma"/>
            <family val="2"/>
          </rPr>
          <t>List Gift on Misc Asset Screen ONLY if they have not yet been received. Otherwise, list them on the Funds Source
Conventional and USDA require that gift funds be removed from assets if they have been received and marked as Gift(like I did in MX)
Gift Donor Statement // Gift Check // Gift Receipt  Confirmation // Gift Letter
Conventional: Only need the gift letter and deposit into the recipeint's account
Required Docs
1) The Mortgagee must obtain a gift letter signed and dated by the donor and Borrower that includes the following:
• the donor’s name, address, and telephone number;
• the donor’s relationship to the Borrower;
• the dollar amount of the gift; and
• a statement that no repayment is required
2) The Mortgagee must verify and document the transfer of gift funds from the donor to the Borrower in accordance with the requirements below.
a. If the gift funds have been verified in the Borrower’s account, obtain the donor’s bank statement showing the withdrawal and evidence of the deposit into the Borrower’s account.
b. If the gift funds are not verified in the Borrower’s account, obtain the certified check or money order or cashier’s check or wire transfer or other official check evidencing payment to the Borrower or settlement agent, and the donor’s bank statement evidencing sufficient funds for the amount of the gift.</t>
        </r>
      </text>
    </comment>
    <comment ref="F31" authorId="1" shapeId="0" xr:uid="{27B40983-FA1A-4FF8-94AD-2368B5E1A6D7}">
      <text>
        <r>
          <rPr>
            <sz val="9"/>
            <color indexed="81"/>
            <rFont val="Tahoma"/>
            <family val="2"/>
          </rPr>
          <t>i. Verified - Yes
ii. Is Final – Yes
iii. Check DTI/CLTV
iv. PIW Still on Loan</t>
        </r>
        <r>
          <rPr>
            <b/>
            <sz val="9"/>
            <color indexed="81"/>
            <rFont val="Tahoma"/>
            <family val="2"/>
          </rPr>
          <t xml:space="preserve">
</t>
        </r>
        <r>
          <rPr>
            <sz val="9"/>
            <color indexed="81"/>
            <rFont val="Tahoma"/>
            <family val="2"/>
          </rPr>
          <t xml:space="preserve">
</t>
        </r>
      </text>
    </comment>
    <comment ref="E32" authorId="0" shapeId="0" xr:uid="{F7D20E59-238F-4B6D-90EB-66EB2FFC595D}">
      <text>
        <r>
          <rPr>
            <sz val="9"/>
            <color indexed="81"/>
            <rFont val="Tahoma"/>
            <family val="2"/>
          </rPr>
          <t>Seller paid contributions cannot exceed Closing cost(est)+Estimated Prepaid Items+Discount Points OR 6%
Interested Parties may contribute up to 6 percent of the sales price toward the Borrower’s origination fees, other closing costs, prepaid items and discount points. The 6 percent limit also includes:
• Interested Party payment for permanent and temporary interest rate buydowns, and other payment supplements;
• payments of mortgage interest for fixed rate Mortgages;
• Mortgage Payment protection insurance; and
• payment of the UFMIP (if this is not financed)
Can consider not financing the UFMIP, but would need to make sure it would be covered inside the seller paid concessions as it cannot be split.</t>
        </r>
        <r>
          <rPr>
            <sz val="9"/>
            <color indexed="81"/>
            <rFont val="Tahoma"/>
            <family val="2"/>
          </rPr>
          <t xml:space="preserve">
</t>
        </r>
      </text>
    </comment>
    <comment ref="A34" authorId="0" shapeId="0" xr:uid="{F7120AC7-4D90-4CAB-A785-217E4A8C0ED6}">
      <text>
        <r>
          <rPr>
            <sz val="9"/>
            <color indexed="81"/>
            <rFont val="Tahoma"/>
            <family val="2"/>
          </rPr>
          <t xml:space="preserve">&gt;50 miles requires LOX. On refi transactions, assume they have been doing this in the past
</t>
        </r>
      </text>
    </comment>
    <comment ref="E34" authorId="0" shapeId="0" xr:uid="{F082E370-2F5A-4F36-AE89-6FF558A83164}">
      <text>
        <r>
          <rPr>
            <sz val="9"/>
            <color indexed="81"/>
            <rFont val="Tahoma"/>
            <family val="2"/>
          </rPr>
          <t>May have to amend contract to extend out closing date</t>
        </r>
        <r>
          <rPr>
            <sz val="9"/>
            <color indexed="81"/>
            <rFont val="Tahoma"/>
            <family val="2"/>
          </rPr>
          <t xml:space="preserve">
</t>
        </r>
      </text>
    </comment>
    <comment ref="C36" authorId="0" shapeId="0" xr:uid="{D5D53012-6168-48F5-8078-3010AFB7EEAA}">
      <text>
        <r>
          <rPr>
            <sz val="9"/>
            <color indexed="81"/>
            <rFont val="Tahoma"/>
            <family val="2"/>
          </rPr>
          <t xml:space="preserve">Do not need to review title in these States
- New York
- New Jersey
- Massachusetts
- Rhode Island
- Connecticut
- Pennsylvania
- Washington 
- California
- Michigan </t>
        </r>
        <r>
          <rPr>
            <b/>
            <sz val="9"/>
            <color indexed="81"/>
            <rFont val="Tahoma"/>
            <family val="2"/>
          </rPr>
          <t xml:space="preserve">
</t>
        </r>
        <r>
          <rPr>
            <sz val="9"/>
            <color indexed="81"/>
            <rFont val="Tahoma"/>
            <family val="2"/>
          </rPr>
          <t xml:space="preserve">
</t>
        </r>
      </text>
    </comment>
    <comment ref="D121" authorId="0" shapeId="0" xr:uid="{6A7B1C42-0772-479F-93D4-B681B5D9BB33}">
      <text>
        <r>
          <rPr>
            <sz val="9"/>
            <color indexed="81"/>
            <rFont val="Tahoma"/>
            <family val="2"/>
          </rPr>
          <t xml:space="preserve">Loan Registration&gt;Borrower Information
</t>
        </r>
      </text>
    </comment>
    <comment ref="D123" authorId="0" shapeId="0" xr:uid="{FBB194BD-52E1-4C1A-9C17-D139C74D3CF8}">
      <text>
        <r>
          <rPr>
            <sz val="9"/>
            <color indexed="81"/>
            <rFont val="Tahoma"/>
            <family val="2"/>
          </rPr>
          <t xml:space="preserve">Make sure 1003 Declarations match Lakewood Declarations for each borrower
</t>
        </r>
      </text>
    </comment>
    <comment ref="D124" authorId="0" shapeId="0" xr:uid="{C0A8F4C3-7D63-427C-8E05-88B0F8D52139}">
      <text>
        <r>
          <rPr>
            <sz val="9"/>
            <color indexed="81"/>
            <rFont val="Tahoma"/>
            <family val="2"/>
          </rPr>
          <t>Additional Personal Info Screen
Add AKA's here, and then add the AKA TI
Mini-C loans - Must add the names to the "Name Affidavit" TI as well</t>
        </r>
      </text>
    </comment>
    <comment ref="D126" authorId="0" shapeId="0" xr:uid="{8AF3C038-8BA0-4DE2-8C3A-63B8A386A8F6}">
      <text>
        <r>
          <rPr>
            <sz val="9"/>
            <color indexed="81"/>
            <rFont val="Tahoma"/>
            <family val="2"/>
          </rPr>
          <t>Make sure all trades show either Credit Report or validated by UW
Enter Credit Report as the method</t>
        </r>
      </text>
    </comment>
    <comment ref="D127" authorId="0" shapeId="0" xr:uid="{5D351CAA-D204-45E1-937F-CD9A726BCFE0}">
      <text>
        <r>
          <rPr>
            <sz val="9"/>
            <color indexed="81"/>
            <rFont val="Tahoma"/>
            <family val="2"/>
          </rPr>
          <t xml:space="preserve">o Property Status = N/A (unless property is an investment, then select “Rental”)
o Current/Subject = Both (unless subject is an investment then select “Subject Property”)
For payoffs:
o Use Credit Bereau on initial. If there is a payoff statement on file, use "Payoff Demand"
o Source Doc = “Payoff Demand” or "Credit Bureau"
o Ver Date = Date payoff was generated
o Good through = Expiration date from payoff statement (may go to end of month if per diem interest is shown)
</t>
        </r>
        <r>
          <rPr>
            <sz val="9"/>
            <color indexed="81"/>
            <rFont val="Tahoma"/>
            <family val="2"/>
          </rPr>
          <t xml:space="preserve">
</t>
        </r>
      </text>
    </comment>
    <comment ref="B128" authorId="0" shapeId="0" xr:uid="{6E95F9D2-BC5F-447B-9DEA-39A11D961DC0}">
      <text>
        <r>
          <rPr>
            <sz val="9"/>
            <color indexed="81"/>
            <rFont val="Tahoma"/>
            <family val="2"/>
          </rPr>
          <t xml:space="preserve">Make sure there is no 5% Factor
</t>
        </r>
      </text>
    </comment>
    <comment ref="D128" authorId="0" shapeId="0" xr:uid="{5D591B1C-95F9-4D80-8FED-DAD5972037CF}">
      <text>
        <r>
          <rPr>
            <sz val="9"/>
            <color indexed="81"/>
            <rFont val="Tahoma"/>
            <family val="2"/>
          </rPr>
          <t>-Verify scores match Credit Report
-Verify Verification date is the CBR date
-Make sure good through Date is 120 days</t>
        </r>
      </text>
    </comment>
    <comment ref="B129" authorId="0" shapeId="0" xr:uid="{1B15D32C-50DC-4CC3-8C4C-E2ACFE883066}">
      <text>
        <r>
          <rPr>
            <sz val="9"/>
            <color indexed="81"/>
            <rFont val="Tahoma"/>
            <family val="2"/>
          </rPr>
          <t>o Check box to Print borrower’s authorization 
o Enter Borrower’s owned residence information( address, monthly pymnt, Property used as, subject property, if applicable).
o Attach/Show Liens, click box
oCannot have 2 primarys. If keeping homes after sale of current home, change previous primary to investment. Cannot do secondary within 100 miles of primary</t>
        </r>
        <r>
          <rPr>
            <b/>
            <sz val="9"/>
            <color indexed="81"/>
            <rFont val="Tahoma"/>
            <family val="2"/>
          </rPr>
          <t xml:space="preserve">
</t>
        </r>
        <r>
          <rPr>
            <sz val="9"/>
            <color indexed="81"/>
            <rFont val="Tahoma"/>
            <family val="2"/>
          </rPr>
          <t xml:space="preserve">
</t>
        </r>
      </text>
    </comment>
    <comment ref="D129" authorId="0" shapeId="0" xr:uid="{2C3DA1CC-EBE4-4DB7-825C-B79F14FC901E}">
      <text>
        <r>
          <rPr>
            <sz val="9"/>
            <color indexed="81"/>
            <rFont val="Tahoma"/>
            <family val="2"/>
          </rPr>
          <t>ONLY used if there are any Late Mortgage Payments
If there are any lates, enter the correct lates for each tradeline using the Credit Report
See Mortgage Hisotyr Data Entry notes</t>
        </r>
      </text>
    </comment>
    <comment ref="D130" authorId="0" shapeId="0" xr:uid="{4E64EFEE-222B-4748-A05C-236B56F06C6D}">
      <text>
        <r>
          <rPr>
            <sz val="9"/>
            <color indexed="81"/>
            <rFont val="Tahoma"/>
            <family val="2"/>
          </rPr>
          <t xml:space="preserve">Must be completed for all FHA Full Document transactions
o If counseled, change to Agency FHA, Counseling Administrator HUD APPROVED COUNSELING AGENCY and Format of Counseling FACE TO FACE.
o For loans that do not require counseling, select “N/A” under Counseling Administrator.
o If there is no indication that Homeowner Counseling was completed, select “N/A”.
</t>
        </r>
      </text>
    </comment>
    <comment ref="C132" authorId="0" shapeId="0" xr:uid="{C90B0544-1D64-4F42-975D-A4619A10B0F3}">
      <text>
        <r>
          <rPr>
            <sz val="9"/>
            <color indexed="81"/>
            <rFont val="Tahoma"/>
            <family val="2"/>
          </rPr>
          <t xml:space="preserve">Change through BPM on the Loan Status screen to Received by UW
</t>
        </r>
      </text>
    </comment>
    <comment ref="D133" authorId="0" shapeId="0" xr:uid="{64E7035F-C6C1-4210-8FB0-7C8C8977A9DA}">
      <text>
        <r>
          <rPr>
            <sz val="9"/>
            <color indexed="81"/>
            <rFont val="Tahoma"/>
            <family val="2"/>
          </rPr>
          <t xml:space="preserve">Check appraisal date(if on file) against the disaster area
If no appraisal in on initial, will need to make a F5 comment ***Do Not Fund*** listing that we need to verify the proeprty is still exiting using the appraisal
</t>
        </r>
      </text>
    </comment>
    <comment ref="B134" authorId="0" shapeId="0" xr:uid="{307F9EAF-1F44-4E32-8167-B64B6DF9D7F0}">
      <text>
        <r>
          <rPr>
            <sz val="9"/>
            <color indexed="81"/>
            <rFont val="Tahoma"/>
            <family val="2"/>
          </rPr>
          <t xml:space="preserve">Transactions that Require Homeownership Education
For the following transactions, at least one borrower on the mortgage loan must complete homeownership education prior to loan closing:
-if all borrowers on the loan are relying </t>
        </r>
        <r>
          <rPr>
            <b/>
            <sz val="9"/>
            <color indexed="81"/>
            <rFont val="Tahoma"/>
            <family val="2"/>
          </rPr>
          <t>solely on nontraditional credit to qualify</t>
        </r>
        <r>
          <rPr>
            <sz val="9"/>
            <color indexed="81"/>
            <rFont val="Tahoma"/>
            <family val="2"/>
          </rPr>
          <t>, regardless of the loan product or whether the borrowers are first-time home buyers;
-</t>
        </r>
        <r>
          <rPr>
            <b/>
            <sz val="9"/>
            <color indexed="81"/>
            <rFont val="Tahoma"/>
            <family val="2"/>
          </rPr>
          <t>HomeReady</t>
        </r>
        <r>
          <rPr>
            <sz val="9"/>
            <color indexed="81"/>
            <rFont val="Tahoma"/>
            <family val="2"/>
          </rPr>
          <t xml:space="preserve"> purchase transactions, when all occupying borrowers are first-time homebuyers; or
-purchase transactions with </t>
        </r>
        <r>
          <rPr>
            <b/>
            <sz val="9"/>
            <color indexed="81"/>
            <rFont val="Tahoma"/>
            <family val="2"/>
          </rPr>
          <t>LTV, CLTV, or HCLTV ratios greater than 95%, when all borrowers are first-time homebuyers.</t>
        </r>
        <r>
          <rPr>
            <sz val="9"/>
            <color indexed="81"/>
            <rFont val="Tahoma"/>
            <family val="2"/>
          </rPr>
          <t xml:space="preserve">
(err-tag=note)
Note: The requirements that apply to purchases also apply to construction-to-permanent transactions that are processed as a purchase.</t>
        </r>
      </text>
    </comment>
    <comment ref="C134" authorId="0" shapeId="0" xr:uid="{8B5055B0-89FC-4CEA-ABAC-0825D0F00926}">
      <text>
        <r>
          <rPr>
            <sz val="9"/>
            <color indexed="81"/>
            <rFont val="Tahoma"/>
            <family val="2"/>
          </rPr>
          <t xml:space="preserve">Check both Broker and UW Comments
</t>
        </r>
      </text>
    </comment>
    <comment ref="B135" authorId="0" shapeId="0" xr:uid="{BC171522-F988-41F2-A680-C36585A7CD8F}">
      <text>
        <r>
          <rPr>
            <sz val="9"/>
            <color indexed="81"/>
            <rFont val="Tahoma"/>
            <family val="2"/>
          </rPr>
          <t xml:space="preserve">o Press [Enter] on employer to be updated to move down to “Verification Methods”.
o Press [Insert] to add a new record (do not change existing records).
o If Employer information needs to be corrected (name, address, phone number).
o Press Up Arrow, press [Enter]. Correct information. Press [Home] once completed.
o Complete information on “Employment Information” screen. Press [Enter] to move forward.
o “Source Document” - Select document type (in pop-up) used to verify and calculate income.
o Source Date – Enter ending date on income document (e.g. pay period end date on most recent paystub)
o Source Good Through Rule - press [Tab], select expiration period (e.g.120 days)
o Valid - Type “Yes”. NOTE: If not changed to “Yes”, this income will not be used to qualify.
</t>
        </r>
        <r>
          <rPr>
            <u/>
            <sz val="9"/>
            <color indexed="81"/>
            <rFont val="Tahoma"/>
            <family val="2"/>
          </rPr>
          <t>o 4506T field – change to “Full Transcript” on all loans (even if transcripts not obtained).</t>
        </r>
        <r>
          <rPr>
            <sz val="9"/>
            <color indexed="81"/>
            <rFont val="Tahoma"/>
            <family val="2"/>
          </rPr>
          <t xml:space="preserve">
o Press [Enter] to bring up the Employment Income section
o NOTE: If you are returned to “Verification Methods” section,
o Select the record you entered and press [Enter].
o Press [Enter] through screen past “4506T” field, Employment Information will now pop-up.
o To change income (from “Employment Income” pop-up screen),
o Use down arrow to select income to update.
o Press [Enter], update income to match calculated income (from Blueprint worksheet),
o Press [Home] and use up/down arrows to move to other income types,
o Press [Enter] and enter other applicable income types, press [Home]. Repeat if needed.
o Press [Home] repeatedly to exit screen until back to Borrower Information, OR
o If borrower has additional Employment, Press [Home] until cursor is in the “Employers” box (box above “Verification Methods”). Select additional Employer, press [Enter] to go to “Verification Methods”. Press [Insert] to add new record. Repeat process above.
****The Work Number**** - Choose Written Statement</t>
        </r>
        <r>
          <rPr>
            <b/>
            <sz val="9"/>
            <color indexed="81"/>
            <rFont val="Tahoma"/>
            <family val="2"/>
          </rPr>
          <t xml:space="preserve">
</t>
        </r>
        <r>
          <rPr>
            <sz val="9"/>
            <color indexed="81"/>
            <rFont val="Tahoma"/>
            <family val="2"/>
          </rPr>
          <t xml:space="preserve">
</t>
        </r>
      </text>
    </comment>
    <comment ref="C135" authorId="0" shapeId="0" xr:uid="{BC6A1808-F1E9-49C9-A157-9EC103980607}">
      <text>
        <r>
          <rPr>
            <sz val="9"/>
            <color indexed="81"/>
            <rFont val="Tahoma"/>
            <family val="2"/>
          </rPr>
          <t xml:space="preserve">Write down SSN's for all apps. 
Back all the way out to the Wholesale Main Menu&gt;#15 Servicing Data Lookup
</t>
        </r>
      </text>
    </comment>
    <comment ref="A138" authorId="0" shapeId="0" xr:uid="{0FD8E5E6-4307-4CD7-954F-70F2316B23CA}">
      <text>
        <r>
          <rPr>
            <sz val="9"/>
            <color indexed="81"/>
            <rFont val="Tahoma"/>
            <family val="2"/>
          </rPr>
          <t>o Ages of the borrower(s): if not completed, there will be an error.
o The Repayment Type Code should be blank for FHA loans.
o Enter VA CAIVRS #’s (close to the bottom of the form)
o Check box on VA loans if B/ CB is married, to avoid hard stop.
o If DU is “Ineligible” due to missing checked box, correct and re-run DU</t>
        </r>
        <r>
          <rPr>
            <b/>
            <sz val="9"/>
            <color indexed="81"/>
            <rFont val="Tahoma"/>
            <family val="2"/>
          </rPr>
          <t xml:space="preserve">
</t>
        </r>
        <r>
          <rPr>
            <sz val="9"/>
            <color indexed="81"/>
            <rFont val="Tahoma"/>
            <family val="2"/>
          </rPr>
          <t xml:space="preserve">
</t>
        </r>
      </text>
    </comment>
    <comment ref="B140" authorId="0" shapeId="0" xr:uid="{B647493E-455B-4F43-AA9C-208158C87546}">
      <text>
        <r>
          <rPr>
            <sz val="9"/>
            <color indexed="81"/>
            <rFont val="Tahoma"/>
            <family val="2"/>
          </rPr>
          <t xml:space="preserve">Source Date=Pay Period End Date
</t>
        </r>
      </text>
    </comment>
    <comment ref="B143" authorId="0" shapeId="0" xr:uid="{9DE9AF44-4327-40F5-AC87-1B4EB7FA651A}">
      <text>
        <r>
          <rPr>
            <sz val="9"/>
            <color indexed="81"/>
            <rFont val="Tahoma"/>
            <family val="2"/>
          </rPr>
          <t xml:space="preserve">Transmittal summary screen
</t>
        </r>
      </text>
    </comment>
    <comment ref="A145" authorId="0" shapeId="0" xr:uid="{403B6979-6665-471D-A968-DF1E91F88A84}">
      <text>
        <r>
          <rPr>
            <sz val="9"/>
            <color indexed="81"/>
            <rFont val="Tahoma"/>
            <family val="2"/>
          </rPr>
          <t>Mark them all as reviewed</t>
        </r>
        <r>
          <rPr>
            <sz val="9"/>
            <color indexed="81"/>
            <rFont val="Tahoma"/>
            <family val="2"/>
          </rPr>
          <t xml:space="preserve">
</t>
        </r>
      </text>
    </comment>
    <comment ref="C145" authorId="0" shapeId="0" xr:uid="{B7D9C880-FEFB-40AD-A223-43FBE130C7C7}">
      <text>
        <r>
          <rPr>
            <b/>
            <sz val="9"/>
            <color indexed="81"/>
            <rFont val="Tahoma"/>
            <family val="2"/>
          </rPr>
          <t>Troy Mcbrair:</t>
        </r>
        <r>
          <rPr>
            <sz val="9"/>
            <color indexed="81"/>
            <rFont val="Tahoma"/>
            <family val="2"/>
          </rPr>
          <t xml:space="preserve">
2 Copies in Wholesale
1) Obsolete the broker findings. Only keep the FHC findings</t>
        </r>
      </text>
    </comment>
    <comment ref="E145" authorId="0" shapeId="0" xr:uid="{DF26C5C1-B611-4598-ACED-BA27EEA5BA74}">
      <text>
        <r>
          <rPr>
            <sz val="9"/>
            <color indexed="81"/>
            <rFont val="Tahoma"/>
            <family val="2"/>
          </rPr>
          <t xml:space="preserve">o Add Apprv/Disb Exp (date of first expiring doc, usually payoff on refinance loans)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o Review housing and debt ratio on this screen and compare against your manually calculated ratios to confirm accuracy. Check ratios against DU ratios also.
o Enter Max Debt Ratio allowed (round up to nearest percentage, unless already a high DTI)
o Check to be sure Cash Required to Close does not exceed Liquid Assets Available or you will need to add a condition for sufficient assets for funds to close.
o Max Interest Rate = interest rate to the right of Max Int Rate
o Max CLTV = CLTV Allowed by guidelines for pruchase
   -For rate/term, just put in the CLTV at what you underwrote the loan at, not the max per policy
o Max HCLTV= Most times is the same as the CLTV 
o # Fin Prop = # of properties borrower owns and is financed, including subject
o # Owned Prop = total # of properties owned (both financed and owned free &amp; clear, incl. subj)
o UW Rev Req = only used when Proposing Denial and submitting to mgr for 2nd review
o Max Limit: Purchases &amp; Refinances - Press Tab and complete Allowed column on left based on current information at time of review, review/update at each review of loan
o Note: Income/Debt/Asset fields in this screen show all information used to come up with the total when you Press Tab on each field (i.e. Press Tab under Total Verified Income and a pop-up will reflect all income used in the total)
</t>
        </r>
        <r>
          <rPr>
            <sz val="9"/>
            <color indexed="81"/>
            <rFont val="Tahoma"/>
            <family val="2"/>
          </rPr>
          <t xml:space="preserve">
</t>
        </r>
      </text>
    </comment>
    <comment ref="E146" authorId="0" shapeId="0" xr:uid="{35AD485E-C5D1-4BA1-BE7B-F7F49EFFDFBE}">
      <text>
        <r>
          <rPr>
            <sz val="9"/>
            <color indexed="81"/>
            <rFont val="Tahoma"/>
            <family val="2"/>
          </rPr>
          <t>Put the expiration date of the earliest doc on the right box(not blue/green) and count back 3 recicsion days from that, and that is the Apprv date
o Add Apprv/Disb Exp (date of first expiring doc, usually payoff on refinance loans or</t>
        </r>
        <r>
          <rPr>
            <u/>
            <sz val="9"/>
            <color indexed="81"/>
            <rFont val="Tahoma"/>
            <family val="2"/>
          </rPr>
          <t xml:space="preserve"> ANY other docs except the Settlement date</t>
        </r>
        <r>
          <rPr>
            <sz val="9"/>
            <color indexed="81"/>
            <rFont val="Tahoma"/>
            <family val="2"/>
          </rPr>
          <t xml:space="preserve">)
o Enter date must close (count back for right of rescission for refinances)
o FHA-to-FHA Refinances may fund 2nd to last day of month (cannot fund last day).
 Press Tab in this field to bring up expiration dates of critical documentation in loan file, carries over from different screens in Lakewood
</t>
        </r>
      </text>
    </comment>
    <comment ref="E147" authorId="0" shapeId="0" xr:uid="{E6577E7D-0001-417D-BDD4-B18AE6A4A4B3}">
      <text>
        <r>
          <rPr>
            <sz val="9"/>
            <color indexed="81"/>
            <rFont val="Tahoma"/>
            <family val="2"/>
          </rPr>
          <t xml:space="preserve">Submit Investors
Make sure to run w/ credit button checked
</t>
        </r>
      </text>
    </comment>
    <comment ref="A148" authorId="0" shapeId="0" xr:uid="{89439294-2497-4520-A543-918FCB6AE598}">
      <text>
        <r>
          <rPr>
            <sz val="9"/>
            <color indexed="81"/>
            <rFont val="Tahoma"/>
            <family val="2"/>
          </rPr>
          <t xml:space="preserve">Hold Harmless document to be signed/dated at closing
</t>
        </r>
      </text>
    </comment>
    <comment ref="C149" authorId="0" shapeId="0" xr:uid="{2EBA9758-652B-4874-B4C5-C3436272595C}">
      <text>
        <r>
          <rPr>
            <sz val="9"/>
            <color indexed="81"/>
            <rFont val="Tahoma"/>
            <family val="2"/>
          </rPr>
          <t xml:space="preserve">Make sure Rate/Term is &lt;$500.00
-Review FICO(&lt;500 not eligible)
-Review CLTV
</t>
        </r>
      </text>
    </comment>
    <comment ref="E149" authorId="0" shapeId="0" xr:uid="{5584881E-7B50-47C3-BC2B-CBDAF696BE5E}">
      <text>
        <r>
          <rPr>
            <sz val="9"/>
            <color indexed="81"/>
            <rFont val="Tahoma"/>
            <family val="2"/>
          </rPr>
          <t xml:space="preserve">o Run, review entire report and clear any variances if applicable then re-run again to update score. </t>
        </r>
        <r>
          <rPr>
            <u/>
            <sz val="9"/>
            <color indexed="81"/>
            <rFont val="Tahoma"/>
            <family val="2"/>
          </rPr>
          <t>Be sure to run using “Order + Query” so report prints to EDMS.</t>
        </r>
        <r>
          <rPr>
            <sz val="9"/>
            <color indexed="81"/>
            <rFont val="Tahoma"/>
            <family val="2"/>
          </rPr>
          <t xml:space="preserve"> 
</t>
        </r>
      </text>
    </comment>
    <comment ref="A152" authorId="0" shapeId="0" xr:uid="{E17C66EF-1C87-469A-8677-A0F1A4F14070}">
      <text>
        <r>
          <rPr>
            <sz val="9"/>
            <color indexed="81"/>
            <rFont val="Tahoma"/>
            <family val="2"/>
          </rPr>
          <t xml:space="preserve">For Manual reviews, make sure both boxes are checked
</t>
        </r>
      </text>
    </comment>
    <comment ref="A153" authorId="0" shapeId="0" xr:uid="{EAB8A2DB-A685-4E9B-A83D-4E9CC77EB6D1}">
      <text>
        <r>
          <rPr>
            <sz val="9"/>
            <color indexed="81"/>
            <rFont val="Tahoma"/>
            <family val="2"/>
          </rPr>
          <t xml:space="preserve">Approval Expiration date = 60days from review date
</t>
        </r>
      </text>
    </comment>
    <comment ref="E154" authorId="0" shapeId="0" xr:uid="{E39AD7FB-F552-40C2-AE43-2338A96312F9}">
      <text>
        <r>
          <rPr>
            <sz val="9"/>
            <color indexed="81"/>
            <rFont val="Tahoma"/>
            <family val="2"/>
          </rPr>
          <t xml:space="preserve">Review Streamline TI's
</t>
        </r>
      </text>
    </comment>
    <comment ref="C155" authorId="0" shapeId="0" xr:uid="{47849465-66A1-4098-9BE7-F70305534B6D}">
      <text>
        <r>
          <rPr>
            <sz val="9"/>
            <color indexed="81"/>
            <rFont val="Tahoma"/>
            <family val="2"/>
          </rPr>
          <t>Remove all self identifying info(DL/Passport) from documents except for I55 Greencard and other res alien info</t>
        </r>
        <r>
          <rPr>
            <sz val="9"/>
            <color indexed="81"/>
            <rFont val="Tahoma"/>
            <family val="2"/>
          </rPr>
          <t xml:space="preserve">
</t>
        </r>
      </text>
    </comment>
    <comment ref="A156" authorId="0" shapeId="0" xr:uid="{3E3FF181-B0A2-485E-A999-4AD4B65DBD28}">
      <text>
        <r>
          <rPr>
            <sz val="9"/>
            <color indexed="81"/>
            <rFont val="Tahoma"/>
            <family val="2"/>
          </rPr>
          <t xml:space="preserve">o Enter early check clear dates on every DU loan (date of initial DU run). Only run the Early Check results (request u/w under services tab) on Conv FNMA loans.
</t>
        </r>
      </text>
    </comment>
    <comment ref="E156" authorId="0" shapeId="0" xr:uid="{53909EBA-7DDE-409D-8512-7E7A84FC0951}">
      <text>
        <r>
          <rPr>
            <sz val="9"/>
            <color indexed="81"/>
            <rFont val="Tahoma"/>
            <family val="2"/>
          </rPr>
          <t>• An Underwriting Terms and Conditions Form should be printed to EDMS and closely reviewed prior to setting a new Loan Status (every time). It is the last opportunity to correct any errors before the UTC is sent to the client. To print:
• Highlight “Print via Lakewood” and press [Enter].
• Change “Send to EDMS” to “Yes”, press [Enter] until new screen is shown.
• You will likely see a “Warning” regarding the loan being eligible for Docutech, press [Enter] at “OK”
•  Press the letter “U”, cursor will be on “Underwriting Terms &amp; Conditions”, press [Enter].
• A message saying “Send to EDMS Successful” will show. Press [Enter].
• Open up the loan in EDMS. If loan is already opened in EDMS, click on “Document Navigator” to refresh the screen.
• Open the “System Generated” Document Category and click on the Underwriting Terms and Conditions document (make sure it is the updated form).
• Review form. If needed, make revisions, reprint and review again.
• If satisfactory, set status.</t>
        </r>
        <r>
          <rPr>
            <b/>
            <sz val="9"/>
            <color indexed="81"/>
            <rFont val="Tahoma"/>
            <family val="2"/>
          </rPr>
          <t xml:space="preserve">
</t>
        </r>
        <r>
          <rPr>
            <sz val="9"/>
            <color indexed="81"/>
            <rFont val="Tahoma"/>
            <family val="2"/>
          </rPr>
          <t xml:space="preserve">
</t>
        </r>
      </text>
    </comment>
    <comment ref="E157" authorId="0" shapeId="0" xr:uid="{F73EDA24-ECBA-4C64-811F-9A5535835D11}">
      <text>
        <r>
          <rPr>
            <sz val="9"/>
            <color indexed="81"/>
            <rFont val="Tahoma"/>
            <family val="2"/>
          </rPr>
          <t xml:space="preserve">Press F5 any time in the loan review to get there
#2: Internal Underwriter Comments – UW adds review comments here
o The comments here do not print anywhere on the loan. UW should enter comments here to support the loan approval decision, appraisal review comments, or any other notes you want to have in the system. For Wholesale, this section is also where the CUS/Jr UW adds commentary.
Put appraisal notes, income notes, Compensating factors, Fraudgauard notes here for both TOTAL and Manual UW
</t>
        </r>
        <r>
          <rPr>
            <b/>
            <sz val="9"/>
            <color indexed="81"/>
            <rFont val="Tahoma"/>
            <family val="2"/>
          </rPr>
          <t xml:space="preserve">
</t>
        </r>
        <r>
          <rPr>
            <sz val="9"/>
            <color indexed="81"/>
            <rFont val="Tahoma"/>
            <family val="2"/>
          </rPr>
          <t xml:space="preserve">
</t>
        </r>
      </text>
    </comment>
    <comment ref="E158" authorId="0" shapeId="0" xr:uid="{1944F928-7A39-4D97-B653-653E7085388A}">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E159" authorId="0" shapeId="0" xr:uid="{526B6FED-E16D-40FE-87C7-1C06104E4870}">
      <text>
        <r>
          <rPr>
            <sz val="9"/>
            <color indexed="81"/>
            <rFont val="Tahoma"/>
            <family val="2"/>
          </rPr>
          <t>#6:  General Text &amp; Other Comments – UWs add Income Calculation comments here
o #3:   Transmittal Comments-Conv Full Doc Loans
o #7:   VA Loan Analysis Comments
o #11: Mort Cred Analysis-FHA (USE THIS ONE)
o #27: Hold Harmless Agreement-Disaster Area
For Total loans, put compensating factors here in additiont to income notes</t>
        </r>
      </text>
    </comment>
    <comment ref="C162" authorId="0" shapeId="0" xr:uid="{B716A3E2-5FE6-4B3E-806B-710940BB9143}">
      <text>
        <r>
          <rPr>
            <sz val="9"/>
            <color indexed="81"/>
            <rFont val="Tahoma"/>
            <family val="2"/>
          </rPr>
          <t>Should be "none" unless there is a special loan product</t>
        </r>
        <r>
          <rPr>
            <sz val="9"/>
            <color indexed="81"/>
            <rFont val="Tahoma"/>
            <family val="2"/>
          </rPr>
          <t xml:space="preserve">
</t>
        </r>
      </text>
    </comment>
    <comment ref="C163" authorId="0" shapeId="0" xr:uid="{D5E4A43B-2FE0-4ED9-A4E5-B97D979F1D81}">
      <text>
        <r>
          <rPr>
            <sz val="9"/>
            <color indexed="81"/>
            <rFont val="Tahoma"/>
            <family val="2"/>
          </rPr>
          <t xml:space="preserve">Full Doc
HOPE
Prior FHA Refinance
Steamline w/ Appraisal
Streamline w/o Appraisal
</t>
        </r>
      </text>
    </comment>
    <comment ref="C164" authorId="0" shapeId="0" xr:uid="{B0911B79-2D32-4153-A51D-52A86BC79FDD}">
      <text>
        <r>
          <rPr>
            <sz val="9"/>
            <color indexed="81"/>
            <rFont val="Tahoma"/>
            <family val="2"/>
          </rPr>
          <t xml:space="preserve">o Be sure Street Name is just the street and the Street Direction &amp; Type are on their own line or you will get an error when running address validation.
o If changes are made to the county in this screen you will need to re-enter the taxes on the tax screen.
o Property address should be checked against address on Title or other third-party documentation
</t>
        </r>
      </text>
    </comment>
    <comment ref="C165" authorId="0" shapeId="0" xr:uid="{A9D56920-0D77-4CDF-9C58-9B57A31FC444}">
      <text>
        <r>
          <rPr>
            <sz val="9"/>
            <color indexed="81"/>
            <rFont val="Tahoma"/>
            <family val="2"/>
          </rPr>
          <t>**ignore on initial review if there is no appraisal on file**
Check Property Type ((tab for pop-up to select property Type) Single Family, Condominium, Co-Op, 2-4 Family, Condo – Hotel, Modular Home, Mobile Home, Detached Condo.
• Manufactured Homes- Need Make, Model # and VIN#.
• PUDs: Note for FHA – do not select FNMA or FHLMC ProjClas. Press home to 
skip over this section, if selected you will receive a hard stop. 
Gov’t Housing Type (Attached, Detached or Semi Detached).
Number of Units. 
Tab for popup to select the number of residential units (Bedroom count will be added to this section and validation source). Gross Rent if applicable (2-4 unit).
Year Built. 
Screen pop up: add/ verify Gross Living Area &amp; Lot Size.(Use Appraisal for this if on file)
Lien Type: Enter Lien Type
Property Cash Flow – Used for 2–4 unit with rental income, skip if N/A (positive income &gt; enter amt, losses &gt; enter as negative amt).</t>
        </r>
        <r>
          <rPr>
            <b/>
            <sz val="9"/>
            <color indexed="81"/>
            <rFont val="Tahoma"/>
            <family val="2"/>
          </rPr>
          <t xml:space="preserve">
</t>
        </r>
        <r>
          <rPr>
            <sz val="9"/>
            <color indexed="81"/>
            <rFont val="Tahoma"/>
            <family val="2"/>
          </rPr>
          <t xml:space="preserve">
</t>
        </r>
      </text>
    </comment>
    <comment ref="C166" authorId="0" shapeId="0" xr:uid="{C5661E7D-5BF4-4732-9BE4-68C0CDE79252}">
      <text>
        <r>
          <rPr>
            <sz val="9"/>
            <color indexed="81"/>
            <rFont val="Tahoma"/>
            <family val="2"/>
          </rPr>
          <t>o Run at initial UW, correct any errors (if applicable) in the Subject Property Address screen.
o If previously run - Press [Insert] and then press [Enter] on “Yes”.</t>
        </r>
        <r>
          <rPr>
            <b/>
            <sz val="9"/>
            <color indexed="81"/>
            <rFont val="Tahoma"/>
            <family val="2"/>
          </rPr>
          <t xml:space="preserve">
</t>
        </r>
        <r>
          <rPr>
            <sz val="9"/>
            <color indexed="81"/>
            <rFont val="Tahoma"/>
            <family val="2"/>
          </rPr>
          <t xml:space="preserve">
</t>
        </r>
      </text>
    </comment>
    <comment ref="C167" authorId="0" shapeId="0" xr:uid="{EF8C0D1D-5574-483E-A22A-1BCB71FE8E23}">
      <text>
        <r>
          <rPr>
            <sz val="9"/>
            <color indexed="81"/>
            <rFont val="Tahoma"/>
            <family val="2"/>
          </rPr>
          <t xml:space="preserve">Obtain non-borrowing spouse credit report to include all debts
-Need Non-Borrowering Spouse consent form(consent to verify SSN w/ 1098SSA)
-Not submitted to Total Scorecard
Louisiana, Arizona, California, Texas, Washington, Idaho, Nevada, New Mexico, and Wisconsin
Client Info&gt;Additional Borrower info&gt;Additional personal Info. This will show Yes or No. </t>
        </r>
      </text>
    </comment>
    <comment ref="C168" authorId="0" shapeId="0" xr:uid="{AEABC437-0AA9-4A68-AEEC-7711E469B9E0}">
      <text>
        <r>
          <rPr>
            <sz val="9"/>
            <color indexed="81"/>
            <rFont val="Tahoma"/>
            <family val="2"/>
          </rPr>
          <t xml:space="preserve">o For Purchases, Loan Purpose will either show as a Purchase, or Prequalification.
o Loan purpose field opens to Refinance Loan Info screen when Purpose type is Refinance.
    • Refinance Loan Info.
         -Enter or verify Information against documentation in loan file.
         -Original Cost. (sale price of when they purchased the home)
         -Previous Loan Type. (**DO NOT NEED prev investor info**)
         -Purpose of Refinance.
         -Original Mortgage Amount        
         -Original P&amp;I.          
         -Original Amortization.           
         -Refi with Original Creditor? FMC to FMC = Yes (check title).
         -Original Rate.
         -Next Change Date (if current loan is an ARM).
</t>
        </r>
      </text>
    </comment>
    <comment ref="E168" authorId="0" shapeId="0" xr:uid="{96E960B6-7916-4833-A9ED-0407CD4498C9}">
      <text>
        <r>
          <rPr>
            <sz val="9"/>
            <color indexed="81"/>
            <rFont val="Tahoma"/>
            <family val="2"/>
          </rPr>
          <t xml:space="preserve">Total = ZFHA
Manual = Chums
</t>
        </r>
      </text>
    </comment>
    <comment ref="E169" authorId="0" shapeId="0" xr:uid="{BBDF7B08-F21D-45B5-9B8A-9273986707C6}">
      <text>
        <r>
          <rPr>
            <sz val="9"/>
            <color indexed="81"/>
            <rFont val="Tahoma"/>
            <family val="2"/>
          </rPr>
          <t>Underwriting&gt;Print Loan Docs&gt;Print Via Docutech&gt;Ad-Hoc Underwriting</t>
        </r>
        <r>
          <rPr>
            <sz val="9"/>
            <color indexed="81"/>
            <rFont val="Tahoma"/>
            <family val="2"/>
          </rPr>
          <t xml:space="preserve">
</t>
        </r>
      </text>
    </comment>
    <comment ref="E170" authorId="0" shapeId="0" xr:uid="{5A53EB00-FF42-461E-9EAF-74FB825131B1}">
      <text>
        <r>
          <rPr>
            <sz val="9"/>
            <color indexed="81"/>
            <rFont val="Tahoma"/>
            <family val="2"/>
          </rPr>
          <t>Print Loan docs&gt;Print Via Lakewood&gt;UW Terms and Cond
Review this in EDMS(System Generated Folder) for any file issues or things that need to be corrected
-If there are any 0's or blanks, they need to be corrected</t>
        </r>
        <r>
          <rPr>
            <sz val="9"/>
            <color indexed="81"/>
            <rFont val="Tahoma"/>
            <family val="2"/>
          </rPr>
          <t xml:space="preserve">
-Does not need to be signed</t>
        </r>
      </text>
    </comment>
    <comment ref="C172" authorId="0" shapeId="0" xr:uid="{4387E3FF-5F9B-4005-BC7A-D3A22A670A2D}">
      <text>
        <r>
          <rPr>
            <sz val="9"/>
            <color indexed="81"/>
            <rFont val="Tahoma"/>
            <family val="2"/>
          </rPr>
          <t xml:space="preserve">Used for downpayments
If there is ever a gift, it </t>
        </r>
        <r>
          <rPr>
            <u/>
            <sz val="9"/>
            <color indexed="81"/>
            <rFont val="Tahoma"/>
            <family val="2"/>
          </rPr>
          <t>MUST</t>
        </r>
        <r>
          <rPr>
            <sz val="9"/>
            <color indexed="81"/>
            <rFont val="Tahoma"/>
            <family val="2"/>
          </rPr>
          <t xml:space="preserve"> be entered on this screen
Press Insert to Enter Additional Source
-FHA-Gift-Source-Relative
If receiving a gift, Funds Source will always be gift and the full amount of the gift will be listed. Then when you get to assets, if the gift has already been deposited just enter the Borrower&gt;Checking/Savings account as normal and keep FHA gift funds as is as the system will back out the funds automatically.</t>
        </r>
      </text>
    </comment>
    <comment ref="C173" authorId="0" shapeId="0" xr:uid="{431CF170-63E5-4F07-8B48-422EBD6E350C}">
      <text>
        <r>
          <rPr>
            <sz val="9"/>
            <color indexed="81"/>
            <rFont val="Tahoma"/>
            <family val="2"/>
          </rPr>
          <t>o Inter Vivos Revocable Trust – Change to Yes if closing in Trust (must have Trust verbiage to complete. If information not yet available, leave as No).</t>
        </r>
        <r>
          <rPr>
            <sz val="9"/>
            <color indexed="81"/>
            <rFont val="Tahoma"/>
            <family val="2"/>
          </rPr>
          <t xml:space="preserve">
</t>
        </r>
      </text>
    </comment>
    <comment ref="C178" authorId="0" shapeId="0" xr:uid="{6D6E4AED-8374-4F0F-BF2A-807DDF03AAB6}">
      <text>
        <r>
          <rPr>
            <sz val="9"/>
            <color indexed="81"/>
            <rFont val="Tahoma"/>
            <family val="2"/>
          </rPr>
          <t>Accessed if there is an escrow credit on the Payoff or seller paid fees must be allocated.
Previous Escrow Credit(This is when the seller contributions EXCEEDS either the 6% product max, or the Closing Cost+Estimated Prepaids
o Press [Insert] and select “214 Previous Escrows credit”, press [Enter]
o Enter amount of escrow credit shown on Payoff at “Buyer” under “PAC”, Press [Home]
o Make sure amount is shown for “Third Party” under “PAC” (enter if needed)
o Press [Home] until you return to “Registration / Underwriting” menu
Allocate Fees (initial underwrite of purchase transaction with seller pad fees) - COMPLETE
Seller paid contributions cannot exceed Closing cost(est)+Estimated Prepaid Items(which both are located on the Details of Transaction Screen)</t>
        </r>
      </text>
    </comment>
    <comment ref="C179" authorId="0" shapeId="0" xr:uid="{F5F05331-FD02-44B0-B717-E9C3412E471A}">
      <text>
        <r>
          <rPr>
            <sz val="9"/>
            <color indexed="81"/>
            <rFont val="Tahoma"/>
            <family val="2"/>
          </rPr>
          <t>o Review “Other Credits” field
o Press [Enter] through screen down to “Other Credits”, Press [Tab]
o If a dollar amount is listed, remove unless specifically instructed to include it
o To remove, press [Enter] until the cursor is on the dollar amount, change figure to $0.00</t>
        </r>
        <r>
          <rPr>
            <b/>
            <sz val="9"/>
            <color indexed="81"/>
            <rFont val="Tahoma"/>
            <family val="2"/>
          </rPr>
          <t xml:space="preserve">
</t>
        </r>
        <r>
          <rPr>
            <sz val="9"/>
            <color indexed="81"/>
            <rFont val="Tahoma"/>
            <family val="2"/>
          </rPr>
          <t xml:space="preserve">
</t>
        </r>
      </text>
    </comment>
    <comment ref="C180" authorId="0" shapeId="0" xr:uid="{8B477DF6-E26B-4946-9D5F-F353B55BE170}">
      <text>
        <r>
          <rPr>
            <sz val="9"/>
            <color indexed="81"/>
            <rFont val="Tahoma"/>
            <family val="2"/>
          </rPr>
          <t xml:space="preserve">Proposed Housing Exp
</t>
        </r>
      </text>
    </comment>
    <comment ref="C185" authorId="0" shapeId="0" xr:uid="{AF2545E7-819F-463B-983B-CFA172B82951}">
      <text>
        <r>
          <rPr>
            <sz val="9"/>
            <color indexed="81"/>
            <rFont val="Tahoma"/>
            <family val="2"/>
          </rPr>
          <t xml:space="preserve">if there is an error (shows in red) you will need to fix it in one of the screens in #13 FHA Information.
</t>
        </r>
      </text>
    </comment>
    <comment ref="C186" authorId="0" shapeId="0" xr:uid="{6B0C010C-4CBA-4BE8-886E-2FD86A990C21}">
      <text>
        <r>
          <rPr>
            <sz val="9"/>
            <color indexed="81"/>
            <rFont val="Tahoma"/>
            <family val="2"/>
          </rPr>
          <t>o Update Additional Conditions-tab in to answer yes to #7 unless investment then #5 is yes then home out (for refinances). Answer yes to appropriate questions if purchase New Construction.
-First 4 options are for new contruction
-#5 is for investments
Most times everything will be "N" except for #7</t>
        </r>
      </text>
    </comment>
    <comment ref="C187" authorId="0" shapeId="0" xr:uid="{D02B3D6B-32EE-4635-A395-F3BC13F7B0C6}">
      <text>
        <r>
          <rPr>
            <sz val="9"/>
            <color indexed="81"/>
            <rFont val="Tahoma"/>
            <family val="2"/>
          </rPr>
          <t xml:space="preserve">o Select borrower (repeat for co-borrower if applicable)
#1 Credit Alert Number
 Verify acceptable CAIVRS number 
</t>
        </r>
      </text>
    </comment>
    <comment ref="C188" authorId="0" shapeId="0" xr:uid="{EDC906BE-05EF-4F30-B463-6707EF1D7E78}">
      <text>
        <r>
          <rPr>
            <sz val="9"/>
            <color indexed="81"/>
            <rFont val="Tahoma"/>
            <family val="2"/>
          </rPr>
          <t xml:space="preserve">Lead Paint Disclosure
</t>
        </r>
      </text>
    </comment>
    <comment ref="C189" authorId="0" shapeId="0" xr:uid="{ED70BF4A-81AB-4872-8B22-B95CA89753CF}">
      <text>
        <r>
          <rPr>
            <sz val="9"/>
            <color indexed="81"/>
            <rFont val="Tahoma"/>
            <family val="2"/>
          </rPr>
          <t xml:space="preserve">Run #10 Refi Authorization on FHA Information Screen before completing these screens)
 #1 Refinance Loan Information
o Information listed is for current existing loan being refinanced
o If information is missing, complete fields by using documentation in loan file (i.e., Mortgage Note, Mortgage Statement, Case Query on existing loan)
#2 FHA MIP Refund
o Additional information for existing loan being refinanced
o First Payment Date
o MIP Refund from Refinance Authorization
</t>
        </r>
        <r>
          <rPr>
            <sz val="9"/>
            <color indexed="81"/>
            <rFont val="Tahoma"/>
            <family val="2"/>
          </rPr>
          <t xml:space="preserve">
</t>
        </r>
      </text>
    </comment>
    <comment ref="C190" authorId="0" shapeId="0" xr:uid="{E8E14005-6DFF-4698-89FE-2586D2491DE4}">
      <text>
        <r>
          <rPr>
            <sz val="9"/>
            <color indexed="81"/>
            <rFont val="Tahoma"/>
            <family val="2"/>
          </rPr>
          <t xml:space="preserve">FHA Max Mortgage Information (FHA-to-FHA Refinances only – e.g. Streamlines)
• Information carries over from the REO Payoff screen
• Verify </t>
        </r>
        <r>
          <rPr>
            <u/>
            <sz val="9"/>
            <color indexed="81"/>
            <rFont val="Tahoma"/>
            <family val="2"/>
          </rPr>
          <t>Actual Base Amount is between Min Base and Max Base Amount</t>
        </r>
        <r>
          <rPr>
            <sz val="9"/>
            <color indexed="81"/>
            <rFont val="Tahoma"/>
            <family val="2"/>
          </rPr>
          <t xml:space="preserve"> &amp; do not use cents.
• If you need to change the loan amount (Streamlines) you can arrow down to Actual Base Loan Amount and Tab to bring you into the Mortgage Type/Loan Terms screen and you can change your loan amount there.  If you do make a change at this point in your review be sure to Control P to reset UFMIP for new loan amount. You can then press HOME and it will bring you back to government screen.
    ***Make sure to CNTRL+P if changing loan amounts***
</t>
        </r>
      </text>
    </comment>
    <comment ref="C191" authorId="0" shapeId="0" xr:uid="{0156970B-D447-4B47-B135-43F417908CB1}">
      <text>
        <r>
          <rPr>
            <sz val="9"/>
            <color indexed="81"/>
            <rFont val="Tahoma"/>
            <family val="2"/>
          </rPr>
          <t xml:space="preserve">Verify that it reports Success. 
</t>
        </r>
      </text>
    </comment>
    <comment ref="C192" authorId="0" shapeId="0" xr:uid="{F05C010A-8999-427D-B4C4-E1ABD7D219F6}">
      <text>
        <r>
          <rPr>
            <sz val="9"/>
            <color indexed="81"/>
            <rFont val="Tahoma"/>
            <family val="2"/>
          </rPr>
          <t xml:space="preserve">o Verify CAIVRS shows Status of SuccessNoUpdate
o CAIVRS is </t>
        </r>
        <r>
          <rPr>
            <u/>
            <sz val="9"/>
            <color indexed="81"/>
            <rFont val="Tahoma"/>
            <family val="2"/>
          </rPr>
          <t>not rerun</t>
        </r>
        <r>
          <rPr>
            <sz val="9"/>
            <color indexed="81"/>
            <rFont val="Tahoma"/>
            <family val="2"/>
          </rPr>
          <t xml:space="preserve"> throughout loan process but should be rerun at Final Approval by pressing Insert
• When loan is Final Approved, the CAIVRS record automatically indexes as a document in EDMS
</t>
        </r>
      </text>
    </comment>
    <comment ref="C193" authorId="0" shapeId="0" xr:uid="{824866CC-3F79-4B33-8E84-B4AB5F5CE842}">
      <text>
        <r>
          <rPr>
            <sz val="9"/>
            <color indexed="81"/>
            <rFont val="Tahoma"/>
            <family val="2"/>
          </rPr>
          <t>: Case Query-run every time you touch file (initial and resubs)
o Insert to Run, Press Enter  
o Status of SUCCESS needed, if Status returns Invalid Data, Press Enter to review reasons for Invalid Data Status
o Review Results for any messages, warnings, confirm MIP factors are correct
o Potential warnings that may appear include Originator or Sponsor ID on FHA Case assignment does not match Lakewood &amp; must be corrected. Another warning may be FHA Case Assignment was received (ordered) prior to application date which would require additional information or explanation to correct.</t>
        </r>
        <r>
          <rPr>
            <b/>
            <sz val="9"/>
            <color indexed="81"/>
            <rFont val="Tahoma"/>
            <family val="2"/>
          </rPr>
          <t xml:space="preserve">
</t>
        </r>
      </text>
    </comment>
    <comment ref="C194" authorId="0" shapeId="0" xr:uid="{67348B70-FF6D-4130-B554-8985421D20C6}">
      <text>
        <r>
          <rPr>
            <sz val="9"/>
            <color indexed="81"/>
            <rFont val="Tahoma"/>
            <family val="2"/>
          </rPr>
          <t xml:space="preserve">verify info every time you touch file (refinances only)
o Insert
o Run for month closing (ex. Loan closing in May so Refinance Authorization should have May as 1st date).
o Make sure there is a SUCCESS rating
Unearned is what has not yet been paid to HUD yet
</t>
        </r>
        <r>
          <rPr>
            <b/>
            <sz val="9"/>
            <color indexed="81"/>
            <rFont val="Tahoma"/>
            <family val="2"/>
          </rPr>
          <t xml:space="preserve">
</t>
        </r>
        <r>
          <rPr>
            <sz val="9"/>
            <color indexed="81"/>
            <rFont val="Tahoma"/>
            <family val="2"/>
          </rPr>
          <t xml:space="preserve">
</t>
        </r>
      </text>
    </comment>
    <comment ref="C195" authorId="0" shapeId="0" xr:uid="{A41126F1-A19E-4018-84A0-AE4ED3DB49DB}">
      <text>
        <r>
          <rPr>
            <sz val="9"/>
            <color indexed="81"/>
            <rFont val="Tahoma"/>
            <family val="2"/>
          </rPr>
          <t>run every time you touch file
o Insert
o Select YES &amp; YES       
o Tells you if more than one case # is open for borrower</t>
        </r>
        <r>
          <rPr>
            <b/>
            <sz val="9"/>
            <color indexed="81"/>
            <rFont val="Tahoma"/>
            <family val="2"/>
          </rPr>
          <t xml:space="preserve">
</t>
        </r>
        <r>
          <rPr>
            <sz val="9"/>
            <color indexed="81"/>
            <rFont val="Tahoma"/>
            <family val="2"/>
          </rPr>
          <t xml:space="preserve">
</t>
        </r>
      </text>
    </comment>
    <comment ref="C196" authorId="0" shapeId="0" xr:uid="{34AD9C67-6F80-4342-8333-04AE89278D65}">
      <text>
        <r>
          <rPr>
            <sz val="9"/>
            <color indexed="81"/>
            <rFont val="Tahoma"/>
            <family val="2"/>
          </rPr>
          <t xml:space="preserve">o Update and/or verify Hazard Insurance and Flood Insurance
• Press [Enter] on applicable insurance and complete from the Insurance policy
 Hazard insurance, escrow disbursement date may be edited by pressing [Enter]. Disbursement date is expiration date of current policy. </t>
        </r>
        <r>
          <rPr>
            <b/>
            <sz val="9"/>
            <color indexed="81"/>
            <rFont val="Tahoma"/>
            <family val="2"/>
          </rPr>
          <t xml:space="preserve">
</t>
        </r>
        <r>
          <rPr>
            <sz val="9"/>
            <color indexed="81"/>
            <rFont val="Tahoma"/>
            <family val="2"/>
          </rPr>
          <t xml:space="preserve">
</t>
        </r>
      </text>
    </comment>
    <comment ref="C197" authorId="0" shapeId="0" xr:uid="{8A05D584-9093-4F94-8227-74F222CD3BE0}">
      <text>
        <r>
          <rPr>
            <sz val="9"/>
            <color indexed="81"/>
            <rFont val="Tahoma"/>
            <family val="2"/>
          </rPr>
          <t>Anticipated Closing Date - Use the purchase agreement date - Only thing we need to update on this screen unless there is a financing contingency date
o Estimated Market Value used for qualifying is listed in this screen. Do not change.
Appraisal Value Section:
o Appraised Value – NOTE: This screen can also be accessed through Appraisal Information screen.
• Press [Tab], press [Enter] Appraisal Detail screen will appear.
• Enter or verify the following fields using appraisal. 
Priority (Must use Priority 001) Appraised Value
Lot Value (if provided) Replacement Value (if provided)
Appraisal Co Mgmt. Co (Appraisal Management Company)
Appraiser Name Appraiser Zip
Appraisal Date Document Reference (press [Tab], enter EAD information 
Appraisal License# Lender Name
Appraisal Type Approved By / Approval Date (underwriter, review date)
• The Approved By field must be the Underwriter completing the Conditional Commitment.
o Press [Home] repeatedly until back to Loan Information Screen.
o Anticipated Closing Date/Scheduled Disbursement Date.</t>
        </r>
        <r>
          <rPr>
            <b/>
            <sz val="9"/>
            <color indexed="81"/>
            <rFont val="Tahoma"/>
            <family val="2"/>
          </rPr>
          <t xml:space="preserve"> **make sure both Anticipated Closing date &amp; Scheduled Closing are entered**</t>
        </r>
        <r>
          <rPr>
            <sz val="9"/>
            <color indexed="81"/>
            <rFont val="Tahoma"/>
            <family val="2"/>
          </rPr>
          <t xml:space="preserve">
o Collect Mtg. Insurance = Yes. Press [Enter].
• Opens to MI Tables screen.
 Verify correct plan has been selected based on FHA Case Assignment date and loan amount. Correct if needed.</t>
        </r>
        <r>
          <rPr>
            <b/>
            <sz val="9"/>
            <color indexed="81"/>
            <rFont val="Tahoma"/>
            <family val="2"/>
          </rPr>
          <t xml:space="preserve">
</t>
        </r>
        <r>
          <rPr>
            <sz val="9"/>
            <color indexed="81"/>
            <rFont val="Tahoma"/>
            <family val="2"/>
          </rPr>
          <t xml:space="preserve">
</t>
        </r>
      </text>
    </comment>
  </commentList>
</comments>
</file>

<file path=xl/sharedStrings.xml><?xml version="1.0" encoding="utf-8"?>
<sst xmlns="http://schemas.openxmlformats.org/spreadsheetml/2006/main" count="1068" uniqueCount="533">
  <si>
    <t>STIPS:</t>
  </si>
  <si>
    <t>HOA</t>
  </si>
  <si>
    <t>Loan Number</t>
  </si>
  <si>
    <t>Aditional REO(client info)</t>
  </si>
  <si>
    <t>Credit</t>
  </si>
  <si>
    <t>Name</t>
  </si>
  <si>
    <t>Addresses/End date</t>
  </si>
  <si>
    <t>Installment inc/esclude</t>
  </si>
  <si>
    <t>Amex 30Day</t>
  </si>
  <si>
    <t>AKA's/Affidavit(cust info)</t>
  </si>
  <si>
    <t>Drive Addresses</t>
  </si>
  <si>
    <t>Drive Mers</t>
  </si>
  <si>
    <t>Drive REO</t>
  </si>
  <si>
    <t>FACTA(fraud alert)(#1983)</t>
  </si>
  <si>
    <t>Cashout/noncash out w/ po heloc(check dates)</t>
  </si>
  <si>
    <t>Public records</t>
  </si>
  <si>
    <t>Trade reported &lt;90days</t>
  </si>
  <si>
    <t>LOC/Helocs</t>
  </si>
  <si>
    <t>large deposits</t>
  </si>
  <si>
    <t>Recurring Debts</t>
  </si>
  <si>
    <t>PIW(send zillow page)</t>
  </si>
  <si>
    <t>CBR date matches AUS</t>
  </si>
  <si>
    <t>MTG Open Date(&lt;6mo?)</t>
  </si>
  <si>
    <t>HOA Dues</t>
  </si>
  <si>
    <t>Purchase Review</t>
  </si>
  <si>
    <t>Solar panel?</t>
  </si>
  <si>
    <t>TI 185 = Seller Cont/Max Cont</t>
  </si>
  <si>
    <t>Ernest Money=Purchase Agmnt</t>
  </si>
  <si>
    <t>Review HOA verbiage</t>
  </si>
  <si>
    <t>Texas 50(a)(6)?(loan purpose)</t>
  </si>
  <si>
    <t>Purchase Price matches Contract</t>
  </si>
  <si>
    <t>Texas Questions(loan purpose)</t>
  </si>
  <si>
    <t>Addendum Reference?</t>
  </si>
  <si>
    <t>Gift Funds?</t>
  </si>
  <si>
    <t>Texas Low Rate Checklist(loan purpose)</t>
  </si>
  <si>
    <t>Mtg Statement</t>
  </si>
  <si>
    <t>HUD1/Note/Final Truth in Lending</t>
  </si>
  <si>
    <t>Notice Of Credit Extension(50a6 only)</t>
  </si>
  <si>
    <t>HELOC Closed &lt;12mo(TX)</t>
  </si>
  <si>
    <t>Fair Market Value (50a6 only)</t>
  </si>
  <si>
    <t>Ackknowlegdement of Receipt(50a6 only)</t>
  </si>
  <si>
    <t>Mortgage Amount</t>
  </si>
  <si>
    <t>Purchase Address</t>
  </si>
  <si>
    <t>Purchase Amount</t>
  </si>
  <si>
    <t>Seller Concessions</t>
  </si>
  <si>
    <t>Ernest Money</t>
  </si>
  <si>
    <t>Gift Amount</t>
  </si>
  <si>
    <t>Client Into</t>
  </si>
  <si>
    <t>Appraisal Review</t>
  </si>
  <si>
    <t>Doc Date</t>
  </si>
  <si>
    <t>Title Review</t>
  </si>
  <si>
    <t>12mo Chain of Title</t>
  </si>
  <si>
    <t>Subj to Work Distance</t>
  </si>
  <si>
    <t>Alerts</t>
  </si>
  <si>
    <t>92900A(HUD addendum)</t>
  </si>
  <si>
    <t>Owned &lt;12mo</t>
  </si>
  <si>
    <t>Judgements</t>
  </si>
  <si>
    <t>Disputes</t>
  </si>
  <si>
    <t>Gap in Employment</t>
  </si>
  <si>
    <t>Non-Emp Income</t>
  </si>
  <si>
    <t>Collections</t>
  </si>
  <si>
    <t>BluePrint to EDMS</t>
  </si>
  <si>
    <t>Income Review</t>
  </si>
  <si>
    <t>Deductions</t>
  </si>
  <si>
    <t>2mo Bank statements</t>
  </si>
  <si>
    <t>Access Letter</t>
  </si>
  <si>
    <t>Insurance Review</t>
  </si>
  <si>
    <t>Mortgagee Clause</t>
  </si>
  <si>
    <t>Current Dates</t>
  </si>
  <si>
    <t>Asset Review</t>
  </si>
  <si>
    <t>Case Number</t>
  </si>
  <si>
    <t>FHA Connection</t>
  </si>
  <si>
    <t>State Disclosure Guide</t>
  </si>
  <si>
    <t>Identity of Interest</t>
  </si>
  <si>
    <t>For your Protection</t>
  </si>
  <si>
    <t>Termite/Soil Treatment</t>
  </si>
  <si>
    <t>Certificate of Occupancy</t>
  </si>
  <si>
    <t>Real Estate Certification</t>
  </si>
  <si>
    <t>Asset Pending Info</t>
  </si>
  <si>
    <t>VOI Pending Info</t>
  </si>
  <si>
    <t>AKA's</t>
  </si>
  <si>
    <t>Inquiries</t>
  </si>
  <si>
    <t>Installment &amp; Rev Debt</t>
  </si>
  <si>
    <t>Texas Review</t>
  </si>
  <si>
    <t>Genderal File Notes</t>
  </si>
  <si>
    <t>Home Owner Counseling</t>
  </si>
  <si>
    <t>Escrow Screen</t>
  </si>
  <si>
    <t>Details of Transaction</t>
  </si>
  <si>
    <t>Print Loan Documents</t>
  </si>
  <si>
    <t>Add Comments to File</t>
  </si>
  <si>
    <t>Final Review</t>
  </si>
  <si>
    <t>Act and Case number(General Info)</t>
  </si>
  <si>
    <t>Loan Purpose(General Info)</t>
  </si>
  <si>
    <t>Occupancy Type(General Info)</t>
  </si>
  <si>
    <t>Case ASGN? (General Info)</t>
  </si>
  <si>
    <t>Additional Conditions(General Info)</t>
  </si>
  <si>
    <t>Manual Downgraded File</t>
  </si>
  <si>
    <t>Correct CAIVRS number(borrower data)</t>
  </si>
  <si>
    <t>Refi Information(FHA&gt;FHA Only)</t>
  </si>
  <si>
    <t>FHA Address Validation(FHA info Scr)</t>
  </si>
  <si>
    <t>FHA CAIVERS(FHA Info Scr)</t>
  </si>
  <si>
    <t>Case Query(FHA Info Scr)</t>
  </si>
  <si>
    <t>Refi Authorization(FHA Info Scr)</t>
  </si>
  <si>
    <t>Case Query by FHA(FHA Info Scr)</t>
  </si>
  <si>
    <t>Compare AUS to UW Summary</t>
  </si>
  <si>
    <t>Apprv/Disb Exp(UW Summary)</t>
  </si>
  <si>
    <t>Underwriting</t>
  </si>
  <si>
    <t>New Fraud Guard Interface</t>
  </si>
  <si>
    <t>Underwriter Comments</t>
  </si>
  <si>
    <t>Solar or other Lien?</t>
  </si>
  <si>
    <t>Initial Docs</t>
  </si>
  <si>
    <t xml:space="preserve">Appraisal Review </t>
  </si>
  <si>
    <t>120 Days From note</t>
  </si>
  <si>
    <t xml:space="preserve">Resale &lt;90days </t>
  </si>
  <si>
    <t>Subordination?</t>
  </si>
  <si>
    <t>Additional Properties</t>
  </si>
  <si>
    <t>Property Type</t>
  </si>
  <si>
    <t>Address</t>
  </si>
  <si>
    <t>Bank</t>
  </si>
  <si>
    <t>Taxes</t>
  </si>
  <si>
    <t>Insurance</t>
  </si>
  <si>
    <t>Fraudguard Review</t>
  </si>
  <si>
    <t>Net tangible Benefit</t>
  </si>
  <si>
    <t>Noted Variances</t>
  </si>
  <si>
    <t>Underwriting Terms and Cond</t>
  </si>
  <si>
    <t>Additional Resource Links</t>
  </si>
  <si>
    <t>FHA Checklist(Wholesale)</t>
  </si>
  <si>
    <t>Approvable Ratios Chart</t>
  </si>
  <si>
    <t>4000.1 Handbook</t>
  </si>
  <si>
    <t>Compensating Factors</t>
  </si>
  <si>
    <t>Total Review</t>
  </si>
  <si>
    <t>Manual Underwrite</t>
  </si>
  <si>
    <t>Appraisal Checklist</t>
  </si>
  <si>
    <t>Cost to Cure</t>
  </si>
  <si>
    <t>MIP Chart</t>
  </si>
  <si>
    <t>Verbiage</t>
  </si>
  <si>
    <t>Exterior pics</t>
  </si>
  <si>
    <t>Interior Pics</t>
  </si>
  <si>
    <t>Subject To/As-is</t>
  </si>
  <si>
    <t>2 active listings &amp; 3 recent Sales</t>
  </si>
  <si>
    <t>Well/Septic Location &amp; Power Lines</t>
  </si>
  <si>
    <t>Max Cash to Close</t>
  </si>
  <si>
    <t>HUD Settlement Fees</t>
  </si>
  <si>
    <t>Certification Questions</t>
  </si>
  <si>
    <t>Economic Life &gt;=Loan Term</t>
  </si>
  <si>
    <t>Decision Loan</t>
  </si>
  <si>
    <t>Loan Info Screen</t>
  </si>
  <si>
    <t>Amendatory Clause</t>
  </si>
  <si>
    <t>Lead Paint Disclosure</t>
  </si>
  <si>
    <t>Spousal Signature Req States</t>
  </si>
  <si>
    <t>Mineral Right Verbiage</t>
  </si>
  <si>
    <t>Credit Suplement for Cur MTG</t>
  </si>
  <si>
    <t>FHA Max Mortgage info(Government info)</t>
  </si>
  <si>
    <t>Documents to Print on Initial</t>
  </si>
  <si>
    <t>Tangible Net Benefits</t>
  </si>
  <si>
    <t>92900B(Notice to HB)</t>
  </si>
  <si>
    <t>Escrows</t>
  </si>
  <si>
    <t>No info missing/incorrect</t>
  </si>
  <si>
    <t>Streamline Review</t>
  </si>
  <si>
    <t>FHA Case &gt;6mo</t>
  </si>
  <si>
    <t>Prop type?</t>
  </si>
  <si>
    <t>Copy of SSN Cards</t>
  </si>
  <si>
    <t>Disclosures Listed above</t>
  </si>
  <si>
    <t>Liens on Credit?</t>
  </si>
  <si>
    <t>Previous MTG Note</t>
  </si>
  <si>
    <t>Original Borrowers Match new Loan?</t>
  </si>
  <si>
    <t>Present Housing Exp Updated</t>
  </si>
  <si>
    <t>Payoff Statement</t>
  </si>
  <si>
    <t>6 payments made on current loan?</t>
  </si>
  <si>
    <t>0x30 lates within 6 or 12 mo</t>
  </si>
  <si>
    <t>Tangible Net benefit?</t>
  </si>
  <si>
    <t>No Cash Back</t>
  </si>
  <si>
    <t>Mers Report</t>
  </si>
  <si>
    <t>Max Loan term</t>
  </si>
  <si>
    <t>Streamline Policy</t>
  </si>
  <si>
    <t>Credit in Policy?</t>
  </si>
  <si>
    <t>Utility bill to verify Occupancy</t>
  </si>
  <si>
    <t>Date assigned &gt;6mo(Streamline)</t>
  </si>
  <si>
    <t>" * " on CBR Tradeline</t>
  </si>
  <si>
    <t>Max Base Loan</t>
  </si>
  <si>
    <t>Corona Credit Score</t>
  </si>
  <si>
    <t>TI List</t>
  </si>
  <si>
    <t>Previous Sale Price</t>
  </si>
  <si>
    <t>Bankruptcy</t>
  </si>
  <si>
    <t>1003 Page 2</t>
  </si>
  <si>
    <t>1003 Signed/dated?</t>
  </si>
  <si>
    <t>4506T signed/dated</t>
  </si>
  <si>
    <t>Intent to Proceed</t>
  </si>
  <si>
    <t>USPS Validation against 1003</t>
  </si>
  <si>
    <t>Disclosures / Document Review</t>
  </si>
  <si>
    <t>Seller Credits?(1003 PG 3)</t>
  </si>
  <si>
    <t>Add Seller Name to File Contact(Tools)</t>
  </si>
  <si>
    <t>All Pages</t>
  </si>
  <si>
    <t>Downpayment Fund Source</t>
  </si>
  <si>
    <t>Primary/Secondary/Rental</t>
  </si>
  <si>
    <t>FNME Streamlined 1003</t>
  </si>
  <si>
    <t>CAIVERS</t>
  </si>
  <si>
    <t>Begin! / Forms</t>
  </si>
  <si>
    <t>Forms Con't</t>
  </si>
  <si>
    <t>Lock Expiration date</t>
  </si>
  <si>
    <t>Manual or Total Review boxes checked</t>
  </si>
  <si>
    <t>All Expirations Dates</t>
  </si>
  <si>
    <r>
      <t>Credit Rerence matches CBR</t>
    </r>
    <r>
      <rPr>
        <b/>
        <sz val="10"/>
        <color theme="1"/>
        <rFont val="Arial"/>
        <family val="2"/>
      </rPr>
      <t>(FHA Management)</t>
    </r>
  </si>
  <si>
    <r>
      <t>AUS info matches Findings</t>
    </r>
    <r>
      <rPr>
        <b/>
        <sz val="10"/>
        <color theme="1"/>
        <rFont val="Arial"/>
        <family val="2"/>
      </rPr>
      <t>(Misc Underwriting - CHL)</t>
    </r>
  </si>
  <si>
    <t>Max Qualifying Rate</t>
  </si>
  <si>
    <t>Run AUS</t>
  </si>
  <si>
    <t>Conditions</t>
  </si>
  <si>
    <t>Fee Simple or Leaseheld</t>
  </si>
  <si>
    <t>2yr address history</t>
  </si>
  <si>
    <t>Alimony/Child Support</t>
  </si>
  <si>
    <t>Mid score Selected(ATR/QM Management)</t>
  </si>
  <si>
    <t>Eligible? (ATR QA Eligibility tab)</t>
  </si>
  <si>
    <t>Date Authorized matches form on file &amp; CBR</t>
  </si>
  <si>
    <t>Mid Score Selected (borrower Summary)</t>
  </si>
  <si>
    <t>Purpose of Refinance (1003 Page 1)</t>
  </si>
  <si>
    <t>EMD moved to Details of Transaction(1003 pg 2)</t>
  </si>
  <si>
    <t>Declarations review</t>
  </si>
  <si>
    <t>Gov info filled out</t>
  </si>
  <si>
    <t>Property Type Correct? Match Transmittal Summary?</t>
  </si>
  <si>
    <t>LDP Search(unchecked unless there is a HIT)</t>
  </si>
  <si>
    <t>Total Scorecard(A/A &amp; Eligible unless downgrade)</t>
  </si>
  <si>
    <t>FHA Max Mortgage and Cash Worksheet</t>
  </si>
  <si>
    <t>Obtain FHA Case Number and enter</t>
  </si>
  <si>
    <t>HUD 1003 Addendum</t>
  </si>
  <si>
    <t>HUD 56001 Property Improvement</t>
  </si>
  <si>
    <t>Forms Cont'</t>
  </si>
  <si>
    <t>Estimated Remaining Life</t>
  </si>
  <si>
    <t>CHUMS ID</t>
  </si>
  <si>
    <t>Fee Simple/Lease Held?</t>
  </si>
  <si>
    <t>Qualifying Ratios</t>
  </si>
  <si>
    <t>Title Review(Forms Tab)</t>
  </si>
  <si>
    <r>
      <t xml:space="preserve">Prop type correct? </t>
    </r>
    <r>
      <rPr>
        <b/>
        <sz val="10"/>
        <color theme="1"/>
        <rFont val="Arial"/>
        <family val="2"/>
      </rPr>
      <t>(Transmittal Summary)</t>
    </r>
  </si>
  <si>
    <t>*INITIAL* &gt;Check Accept/Approve **OR** Refer</t>
  </si>
  <si>
    <t>Source of funds? (Enter Gift info here)</t>
  </si>
  <si>
    <t>Enter Income Notes</t>
  </si>
  <si>
    <t>VOL</t>
  </si>
  <si>
    <t>VOM</t>
  </si>
  <si>
    <t>Final Initial Review</t>
  </si>
  <si>
    <t>Order AUS</t>
  </si>
  <si>
    <t>Disaster State? Credit Policy Annoucements?</t>
  </si>
  <si>
    <t>Approvable Title Company?</t>
  </si>
  <si>
    <t>Gift funds entered here</t>
  </si>
  <si>
    <t>ADP Code(on the FHA Connection page)</t>
  </si>
  <si>
    <t>Seller Contributions</t>
  </si>
  <si>
    <t>Source of Down Payment</t>
  </si>
  <si>
    <t>Community Property State? / Title Held?</t>
  </si>
  <si>
    <t>Flood Hazard Determination</t>
  </si>
  <si>
    <t>Date of Hire on VOE</t>
  </si>
  <si>
    <t>Position on 1003 Pg1</t>
  </si>
  <si>
    <r>
      <t>Mortgage Insurance&gt;</t>
    </r>
    <r>
      <rPr>
        <b/>
        <sz val="10"/>
        <color theme="1"/>
        <rFont val="Arial"/>
        <family val="2"/>
      </rPr>
      <t>Get MI Button!</t>
    </r>
  </si>
  <si>
    <t>*FINAL* &gt;Check Approved &amp; All Conditions of Approval</t>
  </si>
  <si>
    <t>Borrower funds = cash to close</t>
  </si>
  <si>
    <t>Level of Property Review filled out</t>
  </si>
  <si>
    <t>Interest Party Contributions = seller contribution limits</t>
  </si>
  <si>
    <t>Max Rate = qual rate</t>
  </si>
  <si>
    <t>Document dates</t>
  </si>
  <si>
    <r>
      <t>Case Number</t>
    </r>
    <r>
      <rPr>
        <b/>
        <sz val="10"/>
        <color theme="1"/>
        <rFont val="Arial"/>
        <family val="2"/>
      </rPr>
      <t xml:space="preserve"> (HUD 92900LT FHA Loan Transmittal)</t>
    </r>
  </si>
  <si>
    <r>
      <t>TNB</t>
    </r>
    <r>
      <rPr>
        <b/>
        <sz val="10"/>
        <color theme="1"/>
        <rFont val="Arial"/>
        <family val="2"/>
      </rPr>
      <t>(Underwriter Summary)</t>
    </r>
  </si>
  <si>
    <t>UW Evaluated Factors(Underwriting 1 form)</t>
  </si>
  <si>
    <t>Flood Info Entered</t>
  </si>
  <si>
    <t>AUS Info Entered</t>
  </si>
  <si>
    <t xml:space="preserve">Property Type  </t>
  </si>
  <si>
    <t>Escrow Holdback - No</t>
  </si>
  <si>
    <t>Risk Assessment &amp; Case Number</t>
  </si>
  <si>
    <t>Borrower Authorization</t>
  </si>
  <si>
    <t>Replacement Cost(New Investor Form)</t>
  </si>
  <si>
    <t>FHA Case Expiration(6mo)</t>
  </si>
  <si>
    <t>CHUMS ID or ZFHA (CHUMS always for Appraisal)</t>
  </si>
  <si>
    <t>Approval Expire = 60 days</t>
  </si>
  <si>
    <t>Credit Date = Date of Review</t>
  </si>
  <si>
    <t>ZFHA =all credit docs(TOTAL)/CHUMS=Everything(Manual)</t>
  </si>
  <si>
    <t>CHUMS = Appraisal(TOTAL/Manual)</t>
  </si>
  <si>
    <t>WVOE on file?</t>
  </si>
  <si>
    <t>&gt;3 Job Changes &lt;12mo</t>
  </si>
  <si>
    <t>Payments on VOL report all months</t>
  </si>
  <si>
    <t>Texas Loan Fields(Underwriting One Form)</t>
  </si>
  <si>
    <t>Update VOD Screen</t>
  </si>
  <si>
    <t>Authorization to Pull Credit</t>
  </si>
  <si>
    <t>Closing Cost&lt;Seller Cons(HUD 92900)</t>
  </si>
  <si>
    <t>Utilities/Water(Misc Underwriting CHL)</t>
  </si>
  <si>
    <t>Parcels match Title</t>
  </si>
  <si>
    <t>Title Received(Commitment date)</t>
  </si>
  <si>
    <t>Title Expiration(90days from commitment)</t>
  </si>
  <si>
    <t>CBR inquiries &lt;90 days</t>
  </si>
  <si>
    <t>SSA-89</t>
  </si>
  <si>
    <t>Vesting(Sch B)</t>
  </si>
  <si>
    <t>Loan Amnt correct(sch b)</t>
  </si>
  <si>
    <t>Update Taxes on 1003</t>
  </si>
  <si>
    <t>Clear Title(Title CHL)</t>
  </si>
  <si>
    <t>Mortgaged Prop Count(ULDD)</t>
  </si>
  <si>
    <t>Flood info entered(UW P2)(company = FEMA)</t>
  </si>
  <si>
    <t>ULDD Info(Fannie)</t>
  </si>
  <si>
    <t>Closing date match app?</t>
  </si>
  <si>
    <t>Early Check Date(Initial Review Date AUS)</t>
  </si>
  <si>
    <t>Dual Agent?</t>
  </si>
  <si>
    <t>Case Assignment Success?</t>
  </si>
  <si>
    <t>Deductible?</t>
  </si>
  <si>
    <t>Update 1003</t>
  </si>
  <si>
    <t>Proof paid? (Verify on CD page 2)</t>
  </si>
  <si>
    <t>SSR on file(move to Underwriting - UCDP)</t>
  </si>
  <si>
    <t>Suspense? (Suspense Notes here + Condition!!!!)</t>
  </si>
  <si>
    <t>Prop sold &lt;180days?</t>
  </si>
  <si>
    <t>Parcels Match Appraisal?</t>
  </si>
  <si>
    <t>Qualifying Rate</t>
  </si>
  <si>
    <r>
      <t>92800.5B Cond Commit</t>
    </r>
    <r>
      <rPr>
        <b/>
        <sz val="10"/>
        <color theme="1"/>
        <rFont val="Arial"/>
        <family val="2"/>
      </rPr>
      <t>(Forms Page)</t>
    </r>
    <r>
      <rPr>
        <sz val="10"/>
        <color theme="1"/>
        <rFont val="Arial"/>
        <family val="2"/>
      </rPr>
      <t>(3 sigs)</t>
    </r>
  </si>
  <si>
    <t>Credit Report(120 Days)</t>
  </si>
  <si>
    <t>Appraisal(120 Days)</t>
  </si>
  <si>
    <t>Title(90 days)</t>
  </si>
  <si>
    <t>Income(60 days)</t>
  </si>
  <si>
    <t>FHA Case Number Expiration(6mo)</t>
  </si>
  <si>
    <t>Document Date</t>
  </si>
  <si>
    <t>Expiration Date</t>
  </si>
  <si>
    <t>Loan Officer</t>
  </si>
  <si>
    <t>Loan Processor</t>
  </si>
  <si>
    <t>Year Built(Lead Paint Disclosure)</t>
  </si>
  <si>
    <t>Sufficient Coverage(New Investor Scr)</t>
  </si>
  <si>
    <t>Appraisal References Concessions(check sales comps)</t>
  </si>
  <si>
    <t>Prev Trans &gt; 180days Sales Contract Date</t>
  </si>
  <si>
    <t>Highest and Best Use</t>
  </si>
  <si>
    <t>Zoning?</t>
  </si>
  <si>
    <t>15/25% ratios Met</t>
  </si>
  <si>
    <t>EMD Sourced?(TX+NC Termination fee)</t>
  </si>
  <si>
    <t>Receipt of Loan Estimate</t>
  </si>
  <si>
    <t>FHA Informed Consumer</t>
  </si>
  <si>
    <t>Names Spelled right?</t>
  </si>
  <si>
    <t>Tax Cert? Cond if not</t>
  </si>
  <si>
    <t>Go to Master Sheet</t>
  </si>
  <si>
    <t>Texas Disclosures</t>
  </si>
  <si>
    <t>Year Built Matches FHA Connection</t>
  </si>
  <si>
    <t>Prior sales match Title</t>
  </si>
  <si>
    <t>PUD?</t>
  </si>
  <si>
    <t>Rural? Look at distance of comps to Subj = 2nd Level Rev</t>
  </si>
  <si>
    <r>
      <t>PUD Selected? Match to FHA Connection +</t>
    </r>
    <r>
      <rPr>
        <b/>
        <sz val="10"/>
        <color theme="1"/>
        <rFont val="Arial"/>
        <family val="2"/>
      </rPr>
      <t>PUD RIDERS!!!</t>
    </r>
  </si>
  <si>
    <t>Update Appraised Value</t>
  </si>
  <si>
    <t>Commitment Date = Date of Appraisal</t>
  </si>
  <si>
    <t>Commitment Expires = Appraisal Expiration</t>
  </si>
  <si>
    <t>Action Date = The date of appraisal Review</t>
  </si>
  <si>
    <t>Authorized Users?</t>
  </si>
  <si>
    <t>Real/Home/For/Bank/Short/Equity/Secured</t>
  </si>
  <si>
    <t>Data Matches Appraisal</t>
  </si>
  <si>
    <t>Community Property State? Spouse TI</t>
  </si>
  <si>
    <t>MTG Open Date(&lt;6mo?)(delayed Financing)</t>
  </si>
  <si>
    <t>Cashout? 45% DTI = 6mo PITIA reserves</t>
  </si>
  <si>
    <t>2yr address history (own home &lt;6mo?)</t>
  </si>
  <si>
    <t>MTG Open Date(&lt;6mo?)-Verify Past MTG</t>
  </si>
  <si>
    <t>Dated &lt;45 days from App Date</t>
  </si>
  <si>
    <t>Dated &lt;30days from App Date</t>
  </si>
  <si>
    <t>large deposits(50% of qualifing income)</t>
  </si>
  <si>
    <t>New Home? Well? Get inspection</t>
  </si>
  <si>
    <t>Judgements(sch B pt2)</t>
  </si>
  <si>
    <t>Homeownership Education</t>
  </si>
  <si>
    <t>PUD? Check blanket ins equirements(Steve Email)</t>
  </si>
  <si>
    <t>Vacant = Private Water? Well Water Test</t>
  </si>
  <si>
    <t>Misch Underwriting - CHL - PIW Selection</t>
  </si>
  <si>
    <t>Condition for HOA dues/In need of repair/for sale?</t>
  </si>
  <si>
    <t>First Time Home Buyer? Home Education for Max Finance</t>
  </si>
  <si>
    <t>Student loan(1% fannie)(.5% Freddy)</t>
  </si>
  <si>
    <t>Freddie Mac Additional Data = Underwriting</t>
  </si>
  <si>
    <t>PUD stips(see email from Annmarie Logan)</t>
  </si>
  <si>
    <t>Review Lock to match Application</t>
  </si>
  <si>
    <t>Texas R/T? Condition for no a6 on title</t>
  </si>
  <si>
    <t>PUD Approval? Check State List</t>
  </si>
  <si>
    <t>Appraisal In RoundPoint name</t>
  </si>
  <si>
    <t>Credit and Liabilities Task</t>
  </si>
  <si>
    <t>Income Task</t>
  </si>
  <si>
    <t>Asset Task</t>
  </si>
  <si>
    <t>Purchase Contract</t>
  </si>
  <si>
    <t>Post Lock</t>
  </si>
  <si>
    <t>HOA dues realized?</t>
  </si>
  <si>
    <t>2yrs at employer</t>
  </si>
  <si>
    <t>Initial Review Finalization</t>
  </si>
  <si>
    <t>Order Fraudgaurd</t>
  </si>
  <si>
    <t>Asset Notes on File</t>
  </si>
  <si>
    <t>Remove Bonus/OT if not using or required</t>
  </si>
  <si>
    <t>Review Tags</t>
  </si>
  <si>
    <t>Notes on UW Note Screen</t>
  </si>
  <si>
    <t>D1C Income</t>
  </si>
  <si>
    <t>D1C Asset</t>
  </si>
  <si>
    <t>DIC PIW?</t>
  </si>
  <si>
    <t>Purpose of Refinance (Loan Info)</t>
  </si>
  <si>
    <t>Check Pricing and Loan for RICC</t>
  </si>
  <si>
    <t>Credit Conditions</t>
  </si>
  <si>
    <t>HOA? Housing Exp</t>
  </si>
  <si>
    <t>Copy App/Coapp Emp total Years Worked</t>
  </si>
  <si>
    <t>Cash from Borrower? Assets</t>
  </si>
  <si>
    <t>Review MTGs</t>
  </si>
  <si>
    <t>REO at the bottom</t>
  </si>
  <si>
    <t>Exclude duplicate credit entries</t>
  </si>
  <si>
    <t>Validate TWN income figures</t>
  </si>
  <si>
    <t>TWN does not require Blueprint!</t>
  </si>
  <si>
    <t>Business 4506T + Task in Tinman</t>
  </si>
  <si>
    <t>Greencard?(below REO)</t>
  </si>
  <si>
    <t xml:space="preserve">Ernest money  </t>
  </si>
  <si>
    <t>OFAC(bottom of CBR)</t>
  </si>
  <si>
    <t>Copy over CBR number to Tinman</t>
  </si>
  <si>
    <t>Exclude docs(rar/xml)</t>
  </si>
  <si>
    <t>Delete 1008 Task</t>
  </si>
  <si>
    <t>Accept Second Sign</t>
  </si>
  <si>
    <t xml:space="preserve">Delete Fraudgaurd </t>
  </si>
  <si>
    <t>Conditionally Approve</t>
  </si>
  <si>
    <t>Uncheck old DU</t>
  </si>
  <si>
    <t>Uncheck old FG</t>
  </si>
  <si>
    <t>Mtg Company</t>
  </si>
  <si>
    <t>Issue Date matches loan</t>
  </si>
  <si>
    <t>Asset-None Income(60days)</t>
  </si>
  <si>
    <t>Final Review Cordinator Activity w/ name</t>
  </si>
  <si>
    <t>Review Pricing Screen(press save)</t>
  </si>
  <si>
    <t>LQI Condition</t>
  </si>
  <si>
    <t>FraudGaurd(acknowledge task)</t>
  </si>
  <si>
    <t>Blueprint on file matches Income Notes</t>
  </si>
  <si>
    <t>Confirm MTG Current(w/ Helocs)</t>
  </si>
  <si>
    <t>Review PS Date matches file</t>
  </si>
  <si>
    <t>HOA dues on appraisal? File?</t>
  </si>
  <si>
    <t>Tax Cert on file matches Tinman</t>
  </si>
  <si>
    <t>HOI figure matches Tinman</t>
  </si>
  <si>
    <t>MERS Document</t>
  </si>
  <si>
    <t>Uncheck all old DU's and docs</t>
  </si>
  <si>
    <t>Flood Cert Address match(A/X?)</t>
  </si>
  <si>
    <t>Asset Max Cash out for Product</t>
  </si>
  <si>
    <t>Investor Notes updated to match file</t>
  </si>
  <si>
    <t>Generate 1008</t>
  </si>
  <si>
    <t>Generate 1003</t>
  </si>
  <si>
    <t>Check off Complete Final UW Review</t>
  </si>
  <si>
    <t>Review Asset Dates and Amounts(2mo)</t>
  </si>
  <si>
    <t>Run DU(DTI/CLTV/PIW/DIV)</t>
  </si>
  <si>
    <t>60 mile radius? WVOE for Remote task</t>
  </si>
  <si>
    <t>Encompass File Created?</t>
  </si>
  <si>
    <t>Loan&gt;Apply input from Form</t>
  </si>
  <si>
    <t>Compare CLTV</t>
  </si>
  <si>
    <t>Loan Amount(borrower origination)</t>
  </si>
  <si>
    <t>Interest Rate(borrower origination)</t>
  </si>
  <si>
    <t>Product Type</t>
  </si>
  <si>
    <t>Address Correct</t>
  </si>
  <si>
    <t>Monthly payment matching</t>
  </si>
  <si>
    <t>MTG has no gaps in payment history</t>
  </si>
  <si>
    <t>Validate MI cert has coverage to DU</t>
  </si>
  <si>
    <t>Compare DTI(URLA Lender)</t>
  </si>
  <si>
    <t>BCEFG-Appraisal = F</t>
  </si>
  <si>
    <t>Discount point match G</t>
  </si>
  <si>
    <t>EMD/Lender Credit/Seller = M</t>
  </si>
  <si>
    <t>Previous Addresses Match(VOR)</t>
  </si>
  <si>
    <t>Unit numbers?</t>
  </si>
  <si>
    <t>Employment Info Matches(URLA 2)</t>
  </si>
  <si>
    <t>Previous emp history</t>
  </si>
  <si>
    <t>Monthly Income Matches</t>
  </si>
  <si>
    <t>Validate and enter all non-exluded assets(URLA 3)</t>
  </si>
  <si>
    <t>Personal Info(URLA 1)</t>
  </si>
  <si>
    <t>Liability figures all match</t>
  </si>
  <si>
    <t>match payoff figure to mtg being paid off</t>
  </si>
  <si>
    <t>Validate Rental income(URLA 4)</t>
  </si>
  <si>
    <t>Gift funds match?</t>
  </si>
  <si>
    <t>Review Declarations</t>
  </si>
  <si>
    <t>Appraised Value Match</t>
  </si>
  <si>
    <t>Validate sales price</t>
  </si>
  <si>
    <t>Remove HCLTV</t>
  </si>
  <si>
    <t>Appraiser name correct</t>
  </si>
  <si>
    <t>Prop type match(Trasmittal Summary)(PUD info)</t>
  </si>
  <si>
    <t>Property Type(Property info screen)</t>
  </si>
  <si>
    <t>Initial/cond/approved/CTC(Underwriter Summary)</t>
  </si>
  <si>
    <t>UW Factors(mark them all)</t>
  </si>
  <si>
    <t>Condo/PUD Warrnty(if subj condo/pud)</t>
  </si>
  <si>
    <t>Log&gt;Processing Finished</t>
  </si>
  <si>
    <t>Cond Approval&gt;Precloser(Pre QC Group)&gt;Finished</t>
  </si>
  <si>
    <t>MI Correction(2015 Itemization)(2/2/2)</t>
  </si>
  <si>
    <t>Borrowers Match?</t>
  </si>
  <si>
    <t>RefiNow Product</t>
  </si>
  <si>
    <t>AMI below 80%</t>
  </si>
  <si>
    <t>Past due? Must be brough current</t>
  </si>
  <si>
    <t>Zillow Page on file?</t>
  </si>
  <si>
    <t>D1C valid through closing?(30 days)</t>
  </si>
  <si>
    <t>Check investor!(Chase has overlays)</t>
  </si>
  <si>
    <t>P/L signed/dated!!!!!!!!!!!!!!!!!!!!!!!!</t>
  </si>
  <si>
    <t>Balance sheet signed/dated!!!!!!!!!!!!!!</t>
  </si>
  <si>
    <t>Proof taxes paid</t>
  </si>
  <si>
    <t>PIW?</t>
  </si>
  <si>
    <t>Value &gt;$1mm?(manual)</t>
  </si>
  <si>
    <t>Print Zillow Page</t>
  </si>
  <si>
    <t>TexasA6?(cannot do)</t>
  </si>
  <si>
    <t>Cash out &lt;70% CLTV</t>
  </si>
  <si>
    <t>Cash out = 2nd/Invest &lt;60% CLTV</t>
  </si>
  <si>
    <t>R/T &lt;90 CLTV // Invest &lt;75% CLTV</t>
  </si>
  <si>
    <t>D1C Income(30 days)</t>
  </si>
  <si>
    <t>REMOVE ANY FICTICIOUS ASSETS!!!!!!</t>
  </si>
  <si>
    <t>12mo Payment history on Mortgage</t>
  </si>
  <si>
    <t>Income(120 days)</t>
  </si>
  <si>
    <t>Asset(120days)</t>
  </si>
  <si>
    <t>Approval Expiration(90 days from FR)</t>
  </si>
  <si>
    <t>Initial 1003 // 92900A Signed/Dated?</t>
  </si>
  <si>
    <t>.5% Student Loan</t>
  </si>
  <si>
    <t>Married? SSA89 in Community Prop</t>
  </si>
  <si>
    <t>Review Asset Dates and Amounts</t>
  </si>
  <si>
    <t>Check 1000 on Dataverify</t>
  </si>
  <si>
    <t>FRAUDGUARD LDP LIST</t>
  </si>
  <si>
    <t>ENCOMPASS STUFF</t>
  </si>
  <si>
    <t>TINMAN STUFF</t>
  </si>
  <si>
    <t>Borrowers + NON BORROWER!!!!</t>
  </si>
  <si>
    <t>HUD Addendum(92900A)</t>
  </si>
  <si>
    <t>Amendatory Clause on File(make sure purchase price matches contract)</t>
  </si>
  <si>
    <t>Appraisal Company</t>
  </si>
  <si>
    <t>Mtg Approval Date</t>
  </si>
  <si>
    <t>Lead Paint?(signed by all parties w/ correct initials)</t>
  </si>
  <si>
    <t>Title Company + Title Officer on CPL</t>
  </si>
  <si>
    <t>Approval Expiration Date</t>
  </si>
  <si>
    <t>Final LT(make task)(print from Encompass + sign)</t>
  </si>
  <si>
    <t>Buyer // Seller Agent</t>
  </si>
  <si>
    <t>All conditions + Mtg Was Rated Checked</t>
  </si>
  <si>
    <t>Final Case Query(make adhoc task)</t>
  </si>
  <si>
    <t>AKAs from Credit report</t>
  </si>
  <si>
    <t>Borrower Certification Filled out</t>
  </si>
  <si>
    <t>HUD 92900 Addendum Adhoc(from enompass)(sign)</t>
  </si>
  <si>
    <t>All Internal People</t>
  </si>
  <si>
    <t>Print HUD Addendum(for adhoc)(sign)</t>
  </si>
  <si>
    <t>Final Case Assignment(Adhoc task)</t>
  </si>
  <si>
    <t>RERUN Fraudgaurd</t>
  </si>
  <si>
    <t>ON THE LT</t>
  </si>
  <si>
    <t>Final LDP List</t>
  </si>
  <si>
    <t>Print LDP list(for adhoc task)</t>
  </si>
  <si>
    <t>FHA Case Number</t>
  </si>
  <si>
    <t>HelloSign the Conditional Commitment</t>
  </si>
  <si>
    <t>FHA CONNECTION</t>
  </si>
  <si>
    <t>FHA CAIVERS</t>
  </si>
  <si>
    <t>Run final DU</t>
  </si>
  <si>
    <t>Final Case Assignment(Print for Adhoc)</t>
  </si>
  <si>
    <t>Case Number Assigned date</t>
  </si>
  <si>
    <t>Final 1003</t>
  </si>
  <si>
    <t>Query(Print for Adhoc)</t>
  </si>
  <si>
    <t>LT Notes(income/MCR notes)</t>
  </si>
  <si>
    <t>Complete final QC</t>
  </si>
  <si>
    <t>CAIVRS(make sure its in docs)</t>
  </si>
  <si>
    <t>Print LT(for adhoc)(sign)</t>
  </si>
  <si>
    <t>HUD Addendum Page 3/4 signed/dated(2 sigs)</t>
  </si>
  <si>
    <t>Student loan</t>
  </si>
  <si>
    <t>12mo/24mo housing payment 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</si>
</sst>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u/>
      <sz val="11"/>
      <color theme="1"/>
      <name val="Calibri"/>
      <family val="2"/>
      <scheme val="minor"/>
    </font>
    <font>
      <sz val="11"/>
      <color theme="1"/>
      <name val="Courier New"/>
      <family val="3"/>
    </font>
    <font>
      <b/>
      <sz val="10"/>
      <color theme="1"/>
      <name val="Arial"/>
      <family val="2"/>
    </font>
    <font>
      <b/>
      <u/>
      <sz val="10"/>
      <color theme="1"/>
      <name val="Arial"/>
      <family val="2"/>
    </font>
    <font>
      <sz val="10"/>
      <name val="Arial"/>
      <family val="2"/>
    </font>
    <font>
      <sz val="9"/>
      <color indexed="81"/>
      <name val="Tahoma"/>
      <family val="2"/>
    </font>
    <font>
      <b/>
      <sz val="9"/>
      <color indexed="81"/>
      <name val="Tahoma"/>
      <family val="2"/>
    </font>
    <font>
      <u/>
      <sz val="9"/>
      <color indexed="81"/>
      <name val="Tahoma"/>
      <family val="2"/>
    </font>
    <font>
      <b/>
      <sz val="11"/>
      <name val="Calibri"/>
      <family val="2"/>
      <scheme val="minor"/>
    </font>
    <font>
      <u/>
      <sz val="10"/>
      <color theme="1"/>
      <name val="Arial"/>
      <family val="2"/>
    </font>
    <font>
      <sz val="11"/>
      <color rgb="FF000000"/>
      <name val="Calibri"/>
      <family val="2"/>
      <scheme val="minor"/>
    </font>
    <font>
      <sz val="11"/>
      <name val="Calibri"/>
      <family val="2"/>
      <scheme val="minor"/>
    </font>
    <font>
      <sz val="10"/>
      <color rgb="FF000000"/>
      <name val="Arial"/>
      <family val="2"/>
    </font>
  </fonts>
  <fills count="10">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bgColor indexed="64"/>
      </patternFill>
    </fill>
    <fill>
      <patternFill patternType="solid">
        <fgColor rgb="FF00B0F0"/>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s>
  <cellStyleXfs count="2">
    <xf numFmtId="0" fontId="0" fillId="0" borderId="0"/>
    <xf numFmtId="0" fontId="4" fillId="0" borderId="0" applyNumberFormat="0" applyFill="0" applyBorder="0" applyAlignment="0" applyProtection="0"/>
  </cellStyleXfs>
  <cellXfs count="208">
    <xf numFmtId="0" fontId="0" fillId="0" borderId="0" xfId="0"/>
    <xf numFmtId="0" fontId="0" fillId="0" borderId="0" xfId="0" applyAlignment="1">
      <alignment horizontal="right"/>
    </xf>
    <xf numFmtId="0" fontId="0" fillId="0" borderId="0" xfId="0" applyAlignment="1">
      <alignment horizontal="left" vertical="top"/>
    </xf>
    <xf numFmtId="0" fontId="0" fillId="0" borderId="5" xfId="0" applyBorder="1"/>
    <xf numFmtId="0" fontId="0" fillId="0" borderId="5" xfId="0" applyFill="1" applyBorder="1"/>
    <xf numFmtId="0" fontId="0" fillId="0" borderId="0" xfId="0" applyFill="1"/>
    <xf numFmtId="0" fontId="0" fillId="0" borderId="8" xfId="0" applyFill="1" applyBorder="1"/>
    <xf numFmtId="0" fontId="0" fillId="0" borderId="0" xfId="0" applyFill="1" applyBorder="1"/>
    <xf numFmtId="0" fontId="0" fillId="0" borderId="8" xfId="0" applyFill="1" applyBorder="1" applyAlignment="1"/>
    <xf numFmtId="0" fontId="0" fillId="0" borderId="0" xfId="0" applyFill="1" applyBorder="1" applyAlignment="1"/>
    <xf numFmtId="0" fontId="7" fillId="0" borderId="0" xfId="0" applyFont="1" applyFill="1" applyBorder="1" applyAlignment="1">
      <alignment horizontal="left" vertical="top"/>
    </xf>
    <xf numFmtId="0" fontId="6" fillId="0" borderId="0" xfId="0" applyFont="1" applyAlignment="1">
      <alignment horizontal="center"/>
    </xf>
    <xf numFmtId="0" fontId="0" fillId="0" borderId="0" xfId="0" applyBorder="1"/>
    <xf numFmtId="0" fontId="7" fillId="0" borderId="0" xfId="0" applyFont="1" applyBorder="1" applyAlignment="1">
      <alignment horizontal="left" vertical="top"/>
    </xf>
    <xf numFmtId="0" fontId="6" fillId="0" borderId="0" xfId="0" applyFont="1" applyBorder="1" applyAlignment="1">
      <alignment horizontal="center"/>
    </xf>
    <xf numFmtId="0" fontId="6" fillId="0" borderId="0" xfId="0" applyFont="1" applyBorder="1" applyAlignment="1">
      <alignment horizontal="center" vertical="top"/>
    </xf>
    <xf numFmtId="0" fontId="0" fillId="0" borderId="0" xfId="0" applyBorder="1" applyAlignment="1">
      <alignment horizontal="left" vertical="top"/>
    </xf>
    <xf numFmtId="0" fontId="8" fillId="0" borderId="5" xfId="0" applyFont="1" applyBorder="1"/>
    <xf numFmtId="0" fontId="0" fillId="0" borderId="0" xfId="0" applyAlignment="1">
      <alignment wrapText="1"/>
    </xf>
    <xf numFmtId="0" fontId="0" fillId="0" borderId="0" xfId="0" applyBorder="1" applyAlignment="1">
      <alignment wrapText="1"/>
    </xf>
    <xf numFmtId="0" fontId="0" fillId="0" borderId="0" xfId="0" applyBorder="1" applyAlignment="1">
      <alignment horizontal="left" vertical="top" wrapText="1"/>
    </xf>
    <xf numFmtId="0" fontId="0" fillId="0" borderId="0" xfId="0" applyFill="1" applyAlignment="1">
      <alignment wrapText="1"/>
    </xf>
    <xf numFmtId="0" fontId="0" fillId="0" borderId="5" xfId="0" applyBorder="1" applyAlignment="1">
      <alignment wrapText="1"/>
    </xf>
    <xf numFmtId="0" fontId="0" fillId="0" borderId="0" xfId="0" applyFill="1" applyAlignment="1">
      <alignment horizontal="left"/>
    </xf>
    <xf numFmtId="0" fontId="0" fillId="0" borderId="14" xfId="0" applyFill="1" applyBorder="1"/>
    <xf numFmtId="0" fontId="0" fillId="0" borderId="15" xfId="0" applyFill="1" applyBorder="1"/>
    <xf numFmtId="0" fontId="0" fillId="0" borderId="0" xfId="0" applyNumberFormat="1" applyAlignment="1">
      <alignment horizontal="center"/>
    </xf>
    <xf numFmtId="2" fontId="7" fillId="0" borderId="0" xfId="0" applyNumberFormat="1" applyFont="1" applyBorder="1" applyAlignment="1">
      <alignment horizontal="center" vertical="top"/>
    </xf>
    <xf numFmtId="0" fontId="0" fillId="0" borderId="0" xfId="0" applyFont="1" applyBorder="1"/>
    <xf numFmtId="0" fontId="0" fillId="0" borderId="15" xfId="0" applyBorder="1"/>
    <xf numFmtId="0" fontId="4" fillId="0" borderId="0" xfId="1" applyFill="1"/>
    <xf numFmtId="0" fontId="4" fillId="0" borderId="0" xfId="1" applyFill="1" applyBorder="1" applyAlignment="1">
      <alignment horizontal="center"/>
    </xf>
    <xf numFmtId="0" fontId="0" fillId="0" borderId="0" xfId="0" applyFont="1" applyFill="1" applyBorder="1" applyAlignment="1">
      <alignment horizontal="left"/>
    </xf>
    <xf numFmtId="0" fontId="0" fillId="0" borderId="0" xfId="0" applyFont="1" applyFill="1"/>
    <xf numFmtId="0" fontId="0" fillId="0" borderId="10" xfId="0" applyFill="1" applyBorder="1"/>
    <xf numFmtId="0" fontId="0" fillId="0" borderId="0" xfId="0" applyFont="1" applyAlignment="1">
      <alignment horizontal="left"/>
    </xf>
    <xf numFmtId="0" fontId="0" fillId="0" borderId="0" xfId="0" applyFont="1" applyFill="1" applyAlignment="1">
      <alignment horizontal="left"/>
    </xf>
    <xf numFmtId="0" fontId="0" fillId="0" borderId="0" xfId="0" applyFill="1" applyBorder="1" applyAlignment="1">
      <alignment horizontal="left" vertical="top"/>
    </xf>
    <xf numFmtId="0" fontId="0" fillId="0" borderId="0" xfId="0" applyFill="1" applyAlignment="1">
      <alignment horizontal="left" vertical="top"/>
    </xf>
    <xf numFmtId="0" fontId="0" fillId="0" borderId="13" xfId="0" applyBorder="1"/>
    <xf numFmtId="0" fontId="0" fillId="0" borderId="14" xfId="0" applyBorder="1"/>
    <xf numFmtId="0" fontId="0" fillId="0" borderId="5" xfId="0" applyFont="1" applyFill="1" applyBorder="1" applyAlignment="1">
      <alignment horizontal="left"/>
    </xf>
    <xf numFmtId="0" fontId="8" fillId="3" borderId="5" xfId="0" applyFont="1" applyFill="1" applyBorder="1" applyAlignment="1">
      <alignment horizontal="center"/>
    </xf>
    <xf numFmtId="0" fontId="9" fillId="0" borderId="0" xfId="0" applyFont="1" applyFill="1" applyBorder="1" applyAlignment="1"/>
    <xf numFmtId="0" fontId="8" fillId="4" borderId="4" xfId="0" applyFont="1" applyFill="1" applyBorder="1" applyAlignment="1">
      <alignment horizontal="center"/>
    </xf>
    <xf numFmtId="0" fontId="8" fillId="3" borderId="4" xfId="0" applyFont="1" applyFill="1" applyBorder="1" applyAlignment="1">
      <alignment horizontal="center"/>
    </xf>
    <xf numFmtId="0" fontId="0" fillId="0" borderId="8" xfId="0" applyFont="1" applyBorder="1"/>
    <xf numFmtId="0" fontId="0" fillId="0" borderId="8" xfId="0" applyFont="1" applyFill="1" applyBorder="1"/>
    <xf numFmtId="0" fontId="4" fillId="0" borderId="0" xfId="1" applyFill="1" applyAlignment="1">
      <alignment horizontal="center"/>
    </xf>
    <xf numFmtId="0" fontId="0" fillId="0" borderId="0" xfId="0" applyFont="1" applyFill="1" applyAlignment="1">
      <alignment horizontal="center"/>
    </xf>
    <xf numFmtId="0" fontId="8" fillId="4" borderId="6" xfId="0" applyFont="1" applyFill="1" applyBorder="1" applyAlignment="1">
      <alignment horizontal="center"/>
    </xf>
    <xf numFmtId="0" fontId="0" fillId="0" borderId="3" xfId="0" applyFont="1" applyFill="1" applyBorder="1" applyAlignment="1">
      <alignment horizontal="left"/>
    </xf>
    <xf numFmtId="0" fontId="0" fillId="0" borderId="0" xfId="0" applyFont="1" applyFill="1" applyBorder="1" applyAlignment="1">
      <alignment horizontal="center" vertical="center"/>
    </xf>
    <xf numFmtId="0" fontId="4" fillId="0" borderId="0" xfId="1" applyFont="1" applyFill="1" applyAlignment="1">
      <alignment horizontal="center"/>
    </xf>
    <xf numFmtId="0" fontId="15" fillId="0" borderId="0" xfId="0" applyFont="1" applyFill="1" applyAlignment="1">
      <alignment horizontal="center"/>
    </xf>
    <xf numFmtId="0" fontId="8" fillId="4" borderId="5" xfId="0" applyFont="1" applyFill="1" applyBorder="1" applyAlignment="1">
      <alignment horizontal="center"/>
    </xf>
    <xf numFmtId="0" fontId="0" fillId="0" borderId="5" xfId="0" applyFill="1" applyBorder="1" applyAlignment="1"/>
    <xf numFmtId="0" fontId="14" fillId="0" borderId="0" xfId="1" applyFont="1" applyFill="1" applyBorder="1" applyAlignment="1">
      <alignment horizontal="center"/>
    </xf>
    <xf numFmtId="0" fontId="5" fillId="0" borderId="0" xfId="0" applyFont="1" applyFill="1" applyBorder="1" applyAlignment="1">
      <alignment vertical="center"/>
    </xf>
    <xf numFmtId="0" fontId="0" fillId="0" borderId="3" xfId="0" applyFill="1" applyBorder="1"/>
    <xf numFmtId="0" fontId="0" fillId="0" borderId="3" xfId="0" applyBorder="1"/>
    <xf numFmtId="0" fontId="8" fillId="4" borderId="5" xfId="0" applyFont="1" applyFill="1" applyBorder="1" applyAlignment="1">
      <alignment horizontal="center" vertical="center"/>
    </xf>
    <xf numFmtId="0" fontId="0" fillId="0" borderId="0" xfId="0" applyFont="1" applyFill="1" applyBorder="1"/>
    <xf numFmtId="0" fontId="0" fillId="0" borderId="5" xfId="0" applyFont="1" applyFill="1" applyBorder="1"/>
    <xf numFmtId="0" fontId="8" fillId="0" borderId="0" xfId="0" applyFont="1" applyFill="1" applyBorder="1" applyAlignment="1"/>
    <xf numFmtId="0" fontId="14" fillId="0" borderId="2" xfId="1" applyFont="1" applyFill="1" applyBorder="1" applyAlignment="1">
      <alignment horizontal="center"/>
    </xf>
    <xf numFmtId="0" fontId="0" fillId="0" borderId="0" xfId="0" applyAlignment="1">
      <alignment horizontal="center" vertical="center"/>
    </xf>
    <xf numFmtId="2" fontId="0" fillId="0" borderId="0" xfId="0" applyNumberFormat="1" applyFont="1" applyFill="1" applyAlignment="1">
      <alignment horizontal="center" vertical="center"/>
    </xf>
    <xf numFmtId="2" fontId="0" fillId="0" borderId="0" xfId="0" applyNumberFormat="1" applyFont="1" applyAlignment="1">
      <alignment horizontal="center" vertical="center"/>
    </xf>
    <xf numFmtId="0" fontId="0" fillId="0" borderId="15" xfId="0" applyFont="1" applyFill="1" applyBorder="1"/>
    <xf numFmtId="0" fontId="0" fillId="0" borderId="0" xfId="0" applyFont="1" applyBorder="1" applyAlignment="1">
      <alignment horizontal="center"/>
    </xf>
    <xf numFmtId="0" fontId="8" fillId="5" borderId="16" xfId="0" applyFont="1" applyFill="1" applyBorder="1"/>
    <xf numFmtId="0" fontId="0" fillId="0" borderId="0" xfId="0" applyAlignment="1">
      <alignment horizontal="center"/>
    </xf>
    <xf numFmtId="2" fontId="0" fillId="0" borderId="0" xfId="0" applyNumberFormat="1" applyFont="1" applyBorder="1" applyAlignment="1">
      <alignment horizontal="center"/>
    </xf>
    <xf numFmtId="0" fontId="8" fillId="0" borderId="0" xfId="0" applyFont="1" applyFill="1" applyBorder="1" applyAlignment="1">
      <alignment horizontal="left"/>
    </xf>
    <xf numFmtId="0" fontId="5" fillId="0" borderId="5" xfId="0" applyFont="1" applyBorder="1" applyAlignment="1">
      <alignment horizontal="center" vertical="center"/>
    </xf>
    <xf numFmtId="0" fontId="5" fillId="9" borderId="5" xfId="0" applyFont="1" applyFill="1" applyBorder="1"/>
    <xf numFmtId="0" fontId="5" fillId="9" borderId="0" xfId="0" applyFont="1" applyFill="1"/>
    <xf numFmtId="0" fontId="8" fillId="0" borderId="0" xfId="0" applyFont="1" applyFill="1" applyBorder="1" applyAlignment="1">
      <alignment wrapText="1"/>
    </xf>
    <xf numFmtId="14" fontId="0" fillId="6" borderId="4" xfId="0" applyNumberFormat="1" applyFill="1" applyBorder="1" applyAlignment="1">
      <alignment horizontal="center" vertical="center"/>
    </xf>
    <xf numFmtId="14" fontId="0" fillId="7" borderId="4" xfId="0" applyNumberFormat="1" applyFill="1" applyBorder="1" applyAlignment="1">
      <alignment horizontal="center" vertical="center"/>
    </xf>
    <xf numFmtId="14" fontId="16" fillId="7" borderId="0" xfId="0" applyNumberFormat="1" applyFont="1" applyFill="1" applyAlignment="1">
      <alignment horizontal="center" vertical="center"/>
    </xf>
    <xf numFmtId="14" fontId="16" fillId="6" borderId="4" xfId="0" applyNumberFormat="1" applyFont="1" applyFill="1" applyBorder="1" applyAlignment="1">
      <alignment horizontal="center" vertical="center"/>
    </xf>
    <xf numFmtId="14" fontId="17" fillId="7"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0" fillId="8" borderId="4" xfId="0" applyNumberFormat="1" applyFill="1" applyBorder="1" applyAlignment="1">
      <alignment horizontal="center" vertical="center"/>
    </xf>
    <xf numFmtId="14" fontId="17" fillId="2" borderId="4" xfId="0" applyNumberFormat="1" applyFont="1" applyFill="1" applyBorder="1" applyAlignment="1">
      <alignment horizontal="center" vertical="center"/>
    </xf>
    <xf numFmtId="0" fontId="5" fillId="0" borderId="10" xfId="0" applyFont="1" applyBorder="1" applyAlignment="1">
      <alignment horizontal="center" vertical="center"/>
    </xf>
    <xf numFmtId="0" fontId="5" fillId="0" borderId="16" xfId="0" applyFont="1" applyBorder="1" applyAlignment="1">
      <alignment horizontal="center" vertical="center"/>
    </xf>
    <xf numFmtId="0" fontId="5" fillId="0" borderId="4" xfId="0" applyFont="1" applyBorder="1" applyAlignment="1">
      <alignment horizontal="center" vertical="center"/>
    </xf>
    <xf numFmtId="0" fontId="0" fillId="0" borderId="0" xfId="0" applyFill="1" applyBorder="1" applyAlignment="1">
      <alignment horizontal="right"/>
    </xf>
    <xf numFmtId="0" fontId="0" fillId="0" borderId="0" xfId="0" applyFill="1" applyBorder="1" applyAlignment="1">
      <alignment horizontal="center"/>
    </xf>
    <xf numFmtId="0" fontId="0" fillId="2" borderId="4" xfId="0" applyFill="1" applyBorder="1" applyAlignment="1">
      <alignment horizontal="center"/>
    </xf>
    <xf numFmtId="0" fontId="8" fillId="4" borderId="5" xfId="0" applyFont="1" applyFill="1" applyBorder="1" applyAlignment="1">
      <alignment horizontal="center"/>
    </xf>
    <xf numFmtId="0" fontId="4" fillId="0" borderId="0" xfId="1" quotePrefix="1" applyFill="1" applyAlignment="1">
      <alignment horizontal="center"/>
    </xf>
    <xf numFmtId="0" fontId="5" fillId="0" borderId="0" xfId="0" applyFont="1" applyBorder="1" applyAlignment="1">
      <alignment horizontal="center" vertical="center"/>
    </xf>
    <xf numFmtId="14" fontId="16" fillId="0" borderId="0" xfId="0" applyNumberFormat="1" applyFont="1" applyFill="1" applyBorder="1" applyAlignment="1">
      <alignment horizontal="center" vertical="center"/>
    </xf>
    <xf numFmtId="0" fontId="0" fillId="0" borderId="3" xfId="0" applyFill="1" applyBorder="1" applyAlignment="1"/>
    <xf numFmtId="0" fontId="0" fillId="0" borderId="3" xfId="0" applyFill="1" applyBorder="1" applyAlignment="1">
      <alignment vertical="center"/>
    </xf>
    <xf numFmtId="0" fontId="5" fillId="0" borderId="0" xfId="0" applyFont="1" applyFill="1" applyBorder="1" applyAlignment="1">
      <alignment horizontal="center" vertical="center"/>
    </xf>
    <xf numFmtId="14" fontId="0" fillId="0" borderId="0" xfId="0" applyNumberFormat="1" applyFill="1" applyBorder="1" applyAlignment="1">
      <alignment horizontal="center" vertical="center"/>
    </xf>
    <xf numFmtId="0" fontId="8" fillId="4" borderId="0" xfId="0" applyFont="1" applyFill="1" applyBorder="1" applyAlignment="1">
      <alignment horizontal="center" vertical="center"/>
    </xf>
    <xf numFmtId="0" fontId="5" fillId="0" borderId="15" xfId="0" applyFont="1" applyBorder="1" applyAlignment="1">
      <alignment horizontal="center" vertical="center"/>
    </xf>
    <xf numFmtId="0" fontId="5" fillId="9" borderId="1" xfId="0" applyFont="1" applyFill="1" applyBorder="1"/>
    <xf numFmtId="0" fontId="5" fillId="9" borderId="9" xfId="0" applyFont="1" applyFill="1" applyBorder="1"/>
    <xf numFmtId="0" fontId="0" fillId="0" borderId="7" xfId="0" applyFont="1" applyFill="1" applyBorder="1"/>
    <xf numFmtId="0" fontId="0" fillId="0" borderId="0" xfId="0" applyFill="1" applyBorder="1" applyAlignment="1">
      <alignment horizontal="left"/>
    </xf>
    <xf numFmtId="14" fontId="0" fillId="6" borderId="1" xfId="0" applyNumberFormat="1" applyFill="1" applyBorder="1" applyAlignment="1">
      <alignment horizontal="center" vertical="center"/>
    </xf>
    <xf numFmtId="14" fontId="0" fillId="2" borderId="1" xfId="0" applyNumberFormat="1" applyFill="1" applyBorder="1" applyAlignment="1">
      <alignment horizontal="center" vertical="center"/>
    </xf>
    <xf numFmtId="14" fontId="16" fillId="7" borderId="17" xfId="0" applyNumberFormat="1" applyFont="1" applyFill="1" applyBorder="1" applyAlignment="1">
      <alignment horizontal="center" vertical="center"/>
    </xf>
    <xf numFmtId="0" fontId="8" fillId="0" borderId="0" xfId="0" applyFont="1" applyFill="1" applyBorder="1" applyAlignment="1">
      <alignment horizontal="center"/>
    </xf>
    <xf numFmtId="0" fontId="8" fillId="3" borderId="11" xfId="0" applyFont="1" applyFill="1" applyBorder="1" applyAlignment="1">
      <alignment horizontal="center"/>
    </xf>
    <xf numFmtId="0" fontId="8" fillId="4" borderId="17" xfId="0" applyFont="1" applyFill="1" applyBorder="1" applyAlignment="1">
      <alignment horizontal="center"/>
    </xf>
    <xf numFmtId="0" fontId="0" fillId="0" borderId="16" xfId="0" applyBorder="1"/>
    <xf numFmtId="14" fontId="0" fillId="7" borderId="1" xfId="0" applyNumberFormat="1" applyFill="1" applyBorder="1" applyAlignment="1">
      <alignment horizontal="center" vertical="center"/>
    </xf>
    <xf numFmtId="14" fontId="0" fillId="8" borderId="11" xfId="0" applyNumberFormat="1" applyFill="1" applyBorder="1" applyAlignment="1">
      <alignment horizontal="center" vertical="center"/>
    </xf>
    <xf numFmtId="0" fontId="3" fillId="0" borderId="0" xfId="0" applyFont="1" applyFill="1" applyBorder="1" applyAlignment="1">
      <alignment horizontal="center" vertical="center"/>
    </xf>
    <xf numFmtId="2" fontId="0" fillId="0" borderId="0" xfId="0" applyNumberFormat="1" applyFont="1" applyFill="1" applyBorder="1" applyAlignment="1">
      <alignment horizontal="center" vertical="center"/>
    </xf>
    <xf numFmtId="0" fontId="5" fillId="0" borderId="17" xfId="0" applyFont="1" applyBorder="1" applyAlignment="1">
      <alignment horizontal="center" vertical="center"/>
    </xf>
    <xf numFmtId="14" fontId="17" fillId="2" borderId="17" xfId="0" applyNumberFormat="1" applyFont="1" applyFill="1" applyBorder="1" applyAlignment="1">
      <alignment horizontal="center" vertical="center"/>
    </xf>
    <xf numFmtId="0" fontId="0" fillId="0" borderId="0" xfId="0" applyAlignment="1">
      <alignment horizontal="left"/>
    </xf>
    <xf numFmtId="0" fontId="0" fillId="0" borderId="0" xfId="0" applyFont="1" applyAlignment="1">
      <alignment horizontal="center" vertical="center"/>
    </xf>
    <xf numFmtId="0" fontId="0" fillId="0" borderId="0" xfId="0" applyFont="1" applyAlignment="1">
      <alignment horizontal="center"/>
    </xf>
    <xf numFmtId="0" fontId="8" fillId="4" borderId="11" xfId="0" applyFont="1" applyFill="1" applyBorder="1" applyAlignment="1">
      <alignment horizontal="center"/>
    </xf>
    <xf numFmtId="0" fontId="0" fillId="0" borderId="0" xfId="0" applyFill="1" applyBorder="1" applyAlignment="1">
      <alignment horizontal="center"/>
    </xf>
    <xf numFmtId="0" fontId="8" fillId="0" borderId="0" xfId="0" applyFont="1" applyAlignment="1">
      <alignment horizontal="center"/>
    </xf>
    <xf numFmtId="0" fontId="8" fillId="0" borderId="0" xfId="0" applyFont="1" applyAlignment="1">
      <alignment horizontal="right"/>
    </xf>
    <xf numFmtId="0" fontId="0" fillId="0" borderId="4" xfId="0" applyBorder="1"/>
    <xf numFmtId="0" fontId="2" fillId="0" borderId="1" xfId="1" applyFont="1" applyFill="1" applyBorder="1" applyAlignment="1">
      <alignment horizontal="center"/>
    </xf>
    <xf numFmtId="0" fontId="2" fillId="0" borderId="2" xfId="1" applyFont="1" applyFill="1" applyBorder="1" applyAlignment="1">
      <alignment horizontal="center"/>
    </xf>
    <xf numFmtId="49" fontId="0" fillId="0" borderId="4" xfId="0" applyNumberFormat="1" applyBorder="1"/>
    <xf numFmtId="14" fontId="0" fillId="0" borderId="1" xfId="0" applyNumberFormat="1" applyBorder="1" applyAlignment="1">
      <alignment horizontal="center"/>
    </xf>
    <xf numFmtId="0" fontId="0" fillId="0" borderId="17" xfId="0" applyBorder="1"/>
    <xf numFmtId="0" fontId="0" fillId="0" borderId="16" xfId="0" applyBorder="1" applyAlignment="1">
      <alignment vertical="center"/>
    </xf>
    <xf numFmtId="0" fontId="0" fillId="0" borderId="10" xfId="0" applyBorder="1"/>
    <xf numFmtId="0" fontId="0" fillId="0" borderId="15" xfId="0" applyBorder="1" applyAlignment="1">
      <alignment horizontal="left"/>
    </xf>
    <xf numFmtId="0" fontId="8" fillId="0" borderId="0" xfId="0" applyFont="1"/>
    <xf numFmtId="0" fontId="0" fillId="0" borderId="11" xfId="0" applyBorder="1"/>
    <xf numFmtId="0" fontId="0" fillId="0" borderId="7" xfId="0" applyBorder="1" applyAlignment="1">
      <alignment horizontal="left"/>
    </xf>
    <xf numFmtId="0" fontId="0" fillId="0" borderId="12" xfId="0" applyBorder="1" applyAlignment="1">
      <alignment horizontal="left"/>
    </xf>
    <xf numFmtId="0" fontId="0" fillId="0" borderId="7" xfId="0" applyBorder="1"/>
    <xf numFmtId="0" fontId="8" fillId="0" borderId="11" xfId="0" applyFont="1" applyBorder="1" applyAlignment="1">
      <alignment horizontal="center"/>
    </xf>
    <xf numFmtId="0" fontId="8" fillId="0" borderId="7" xfId="0" applyFont="1" applyBorder="1" applyAlignment="1">
      <alignment horizontal="center"/>
    </xf>
    <xf numFmtId="0" fontId="8" fillId="0" borderId="12" xfId="0" applyFont="1" applyBorder="1" applyAlignment="1">
      <alignment horizontal="center"/>
    </xf>
    <xf numFmtId="0" fontId="0" fillId="0" borderId="14" xfId="0" applyBorder="1" applyAlignment="1">
      <alignment horizontal="left"/>
    </xf>
    <xf numFmtId="0" fontId="8" fillId="0" borderId="0" xfId="0" applyFont="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5" xfId="0" applyBorder="1" applyAlignment="1">
      <alignment horizontal="left"/>
    </xf>
    <xf numFmtId="0" fontId="0" fillId="0" borderId="9" xfId="0" applyBorder="1" applyAlignment="1">
      <alignment horizontal="left"/>
    </xf>
    <xf numFmtId="0" fontId="0" fillId="0" borderId="9" xfId="0" applyBorder="1"/>
    <xf numFmtId="0" fontId="8" fillId="0" borderId="14" xfId="0" applyFont="1" applyBorder="1" applyAlignment="1">
      <alignment horizontal="center"/>
    </xf>
    <xf numFmtId="0" fontId="0" fillId="0" borderId="14" xfId="0" applyBorder="1" applyAlignment="1">
      <alignment horizontal="left" vertical="center"/>
    </xf>
    <xf numFmtId="0" fontId="9" fillId="0" borderId="0" xfId="0" applyFont="1" applyAlignment="1">
      <alignment horizontal="center"/>
    </xf>
    <xf numFmtId="0" fontId="0" fillId="0" borderId="9" xfId="0" applyBorder="1" applyAlignment="1">
      <alignment horizontal="left" vertical="center"/>
    </xf>
    <xf numFmtId="2" fontId="0" fillId="0" borderId="0" xfId="0" applyNumberFormat="1" applyAlignment="1">
      <alignment horizontal="center" vertical="center"/>
    </xf>
    <xf numFmtId="2" fontId="10" fillId="0" borderId="0" xfId="0" applyNumberFormat="1" applyFont="1" applyAlignment="1">
      <alignment horizontal="center"/>
    </xf>
    <xf numFmtId="2" fontId="0" fillId="0" borderId="0" xfId="0" applyNumberFormat="1" applyAlignment="1">
      <alignment horizontal="center"/>
    </xf>
    <xf numFmtId="0" fontId="8" fillId="9" borderId="0" xfId="0" applyFont="1" applyFill="1" applyAlignment="1">
      <alignment horizontal="right"/>
    </xf>
    <xf numFmtId="0" fontId="0" fillId="9" borderId="0" xfId="0" applyFill="1"/>
    <xf numFmtId="0" fontId="0" fillId="0" borderId="4" xfId="0" applyBorder="1" applyAlignment="1">
      <alignment horizontal="center"/>
    </xf>
    <xf numFmtId="14" fontId="0" fillId="0" borderId="4" xfId="0" applyNumberFormat="1" applyBorder="1" applyAlignment="1">
      <alignment horizontal="center"/>
    </xf>
    <xf numFmtId="0" fontId="5" fillId="0" borderId="0" xfId="0" applyFont="1" applyAlignment="1">
      <alignment horizontal="center" vertical="center"/>
    </xf>
    <xf numFmtId="14" fontId="17" fillId="0" borderId="0" xfId="0" applyNumberFormat="1" applyFont="1" applyAlignment="1">
      <alignment horizontal="center" vertical="center"/>
    </xf>
    <xf numFmtId="14" fontId="0" fillId="0" borderId="0" xfId="0" applyNumberFormat="1" applyAlignment="1">
      <alignment horizontal="center" vertical="center"/>
    </xf>
    <xf numFmtId="0" fontId="8" fillId="4" borderId="0" xfId="0" applyFont="1" applyFill="1" applyAlignment="1">
      <alignment horizontal="center"/>
    </xf>
    <xf numFmtId="0" fontId="8" fillId="3" borderId="0" xfId="0" applyFont="1" applyFill="1" applyAlignment="1">
      <alignment horizontal="center"/>
    </xf>
    <xf numFmtId="0" fontId="0" fillId="0" borderId="17" xfId="0" applyBorder="1" applyAlignment="1">
      <alignment horizontal="left"/>
    </xf>
    <xf numFmtId="0" fontId="8" fillId="0" borderId="16" xfId="0" applyFont="1" applyBorder="1" applyAlignment="1">
      <alignment horizontal="center"/>
    </xf>
    <xf numFmtId="0" fontId="0" fillId="0" borderId="16" xfId="0" applyBorder="1" applyAlignment="1">
      <alignment horizontal="left"/>
    </xf>
    <xf numFmtId="0" fontId="8" fillId="0" borderId="11" xfId="0" applyFont="1" applyBorder="1"/>
    <xf numFmtId="0" fontId="8" fillId="0" borderId="14" xfId="0" applyFont="1" applyBorder="1"/>
    <xf numFmtId="0" fontId="8" fillId="0" borderId="9" xfId="0" applyFont="1" applyBorder="1"/>
    <xf numFmtId="0" fontId="8" fillId="3" borderId="1" xfId="0" applyFont="1" applyFill="1" applyBorder="1" applyAlignment="1">
      <alignment horizontal="center"/>
    </xf>
    <xf numFmtId="0" fontId="0" fillId="0" borderId="0" xfId="0" applyAlignment="1">
      <alignment horizontal="center"/>
    </xf>
    <xf numFmtId="0" fontId="1" fillId="0" borderId="1" xfId="1" applyFont="1" applyFill="1" applyBorder="1" applyAlignment="1">
      <alignment horizontal="center"/>
    </xf>
    <xf numFmtId="0" fontId="1" fillId="0" borderId="2" xfId="1" applyFont="1" applyFill="1" applyBorder="1" applyAlignment="1">
      <alignment horizontal="center"/>
    </xf>
    <xf numFmtId="0" fontId="1" fillId="0" borderId="0" xfId="0" applyFont="1" applyAlignment="1">
      <alignment horizontal="left" vertical="center"/>
    </xf>
    <xf numFmtId="0" fontId="1" fillId="0" borderId="5" xfId="0" applyFont="1" applyBorder="1" applyAlignment="1">
      <alignment horizontal="left" vertical="center"/>
    </xf>
    <xf numFmtId="0" fontId="1" fillId="0" borderId="0" xfId="0" applyFont="1" applyAlignment="1">
      <alignment horizontal="center"/>
    </xf>
    <xf numFmtId="0" fontId="0" fillId="0" borderId="1" xfId="0" applyFont="1" applyBorder="1" applyAlignment="1">
      <alignment horizontal="left"/>
    </xf>
    <xf numFmtId="0" fontId="0" fillId="0" borderId="2" xfId="0" applyFont="1" applyBorder="1" applyAlignment="1">
      <alignment horizontal="left"/>
    </xf>
    <xf numFmtId="49" fontId="0" fillId="0" borderId="1" xfId="0" applyNumberFormat="1" applyFont="1" applyBorder="1" applyAlignment="1">
      <alignment horizontal="left"/>
    </xf>
    <xf numFmtId="49" fontId="0" fillId="0" borderId="2" xfId="0" applyNumberFormat="1" applyFont="1" applyBorder="1" applyAlignment="1">
      <alignment horizontal="left"/>
    </xf>
    <xf numFmtId="0" fontId="8" fillId="0" borderId="1" xfId="0" applyFont="1" applyFill="1" applyBorder="1" applyAlignment="1">
      <alignment horizontal="center"/>
    </xf>
    <xf numFmtId="0" fontId="8" fillId="0" borderId="3" xfId="0" applyFont="1" applyFill="1" applyBorder="1" applyAlignment="1">
      <alignment horizontal="center"/>
    </xf>
    <xf numFmtId="0" fontId="8" fillId="0" borderId="2" xfId="0" applyFont="1" applyFill="1" applyBorder="1" applyAlignment="1">
      <alignment horizontal="center"/>
    </xf>
    <xf numFmtId="49" fontId="0" fillId="0" borderId="9" xfId="0" applyNumberFormat="1" applyFont="1" applyBorder="1" applyAlignment="1">
      <alignment horizontal="left"/>
    </xf>
    <xf numFmtId="49" fontId="0" fillId="0" borderId="10" xfId="0" applyNumberFormat="1" applyFont="1" applyBorder="1" applyAlignment="1">
      <alignment horizontal="left"/>
    </xf>
    <xf numFmtId="0" fontId="8" fillId="4" borderId="1" xfId="0" applyFont="1" applyFill="1" applyBorder="1" applyAlignment="1">
      <alignment horizontal="center"/>
    </xf>
    <xf numFmtId="0" fontId="8" fillId="4" borderId="2" xfId="0" applyFont="1" applyFill="1" applyBorder="1" applyAlignment="1">
      <alignment horizontal="center"/>
    </xf>
    <xf numFmtId="0" fontId="8" fillId="4" borderId="11" xfId="0" applyFont="1" applyFill="1" applyBorder="1" applyAlignment="1">
      <alignment horizontal="center"/>
    </xf>
    <xf numFmtId="0" fontId="8" fillId="4" borderId="7" xfId="0" applyFont="1" applyFill="1" applyBorder="1" applyAlignment="1">
      <alignment horizontal="center"/>
    </xf>
    <xf numFmtId="0" fontId="8" fillId="4" borderId="12" xfId="0" applyFont="1" applyFill="1" applyBorder="1" applyAlignment="1">
      <alignment horizontal="center"/>
    </xf>
    <xf numFmtId="0" fontId="8" fillId="3" borderId="1" xfId="0" applyFont="1" applyFill="1" applyBorder="1" applyAlignment="1">
      <alignment horizontal="center"/>
    </xf>
    <xf numFmtId="0" fontId="8" fillId="3" borderId="3" xfId="0" applyFont="1" applyFill="1" applyBorder="1" applyAlignment="1">
      <alignment horizontal="center"/>
    </xf>
    <xf numFmtId="49" fontId="0" fillId="0" borderId="1" xfId="0" applyNumberFormat="1" applyBorder="1" applyAlignment="1">
      <alignment horizontal="left"/>
    </xf>
    <xf numFmtId="49" fontId="0" fillId="0" borderId="2" xfId="0" applyNumberFormat="1" applyBorder="1" applyAlignment="1">
      <alignment horizontal="left"/>
    </xf>
    <xf numFmtId="0" fontId="6" fillId="0" borderId="5" xfId="0" applyFont="1" applyBorder="1" applyAlignment="1">
      <alignment horizontal="center"/>
    </xf>
    <xf numFmtId="0" fontId="0" fillId="0" borderId="1" xfId="0" applyBorder="1" applyAlignment="1">
      <alignment horizontal="left"/>
    </xf>
    <xf numFmtId="0" fontId="0" fillId="0" borderId="2" xfId="0" applyBorder="1" applyAlignment="1">
      <alignment horizontal="left"/>
    </xf>
    <xf numFmtId="0" fontId="0" fillId="0" borderId="7" xfId="0" applyBorder="1" applyAlignment="1">
      <alignment horizontal="center"/>
    </xf>
    <xf numFmtId="0" fontId="0" fillId="0" borderId="0" xfId="0" applyAlignment="1">
      <alignment horizontal="center"/>
    </xf>
    <xf numFmtId="0" fontId="0" fillId="0" borderId="13" xfId="0"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0" fontId="2" fillId="0" borderId="1" xfId="0" applyFont="1" applyBorder="1" applyAlignment="1">
      <alignment horizontal="left"/>
    </xf>
    <xf numFmtId="0" fontId="2" fillId="0" borderId="2" xfId="0" applyFont="1" applyBorder="1" applyAlignment="1">
      <alignment horizontal="left"/>
    </xf>
  </cellXfs>
  <cellStyles count="2">
    <cellStyle name="Hyperlink" xfId="1" builtinId="8"/>
    <cellStyle name="Normal" xfId="0" builtinId="0"/>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2716694</xdr:colOff>
      <xdr:row>62</xdr:row>
      <xdr:rowOff>8736</xdr:rowOff>
    </xdr:from>
    <xdr:to>
      <xdr:col>8</xdr:col>
      <xdr:colOff>259955</xdr:colOff>
      <xdr:row>224</xdr:row>
      <xdr:rowOff>143328</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796129" y="11405606"/>
          <a:ext cx="11963283" cy="26978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*********MANUAL</a:t>
          </a:r>
          <a:r>
            <a:rPr lang="en-US" sz="1100" baseline="0">
              <a:solidFill>
                <a:schemeClr val="dk1"/>
              </a:solidFill>
              <a:effectLst/>
              <a:latin typeface="+mn-lt"/>
              <a:ea typeface="+mn-ea"/>
              <a:cs typeface="+mn-cs"/>
            </a:rPr>
            <a:t> NOTES***********</a:t>
          </a:r>
        </a:p>
        <a:p>
          <a:r>
            <a:rPr lang="en-US" sz="1100" baseline="0">
              <a:solidFill>
                <a:schemeClr val="dk1"/>
              </a:solidFill>
              <a:effectLst/>
              <a:latin typeface="+mn-lt"/>
              <a:ea typeface="+mn-ea"/>
              <a:cs typeface="+mn-cs"/>
            </a:rPr>
            <a:t>*****FILE NOTE*****</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*****INCOME*****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*****CREDIT*****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*****ASSET*****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*****Fraud Guard*****</a:t>
          </a:r>
        </a:p>
        <a:p>
          <a:r>
            <a:rPr lang="en-US" sz="1100">
              <a:solidFill>
                <a:schemeClr val="dk1"/>
              </a:solidFill>
              <a:effectLst/>
              <a:latin typeface="+mn-lt"/>
              <a:ea typeface="+mn-ea"/>
              <a:cs typeface="+mn-cs"/>
            </a:rPr>
            <a:t>FraudGuard Initial</a:t>
          </a:r>
          <a:r>
            <a:rPr lang="en-US" sz="1100" baseline="0">
              <a:solidFill>
                <a:schemeClr val="dk1"/>
              </a:solidFill>
              <a:effectLst/>
              <a:latin typeface="+mn-lt"/>
              <a:ea typeface="+mn-ea"/>
              <a:cs typeface="+mn-cs"/>
            </a:rPr>
            <a:t> Score: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*****Appraisal Review*****</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*****COVID Guidelines*****</a:t>
          </a:r>
        </a:p>
        <a:p>
          <a:endParaRPr lang="en-US" sz="1100"/>
        </a:p>
      </xdr:txBody>
    </xdr:sp>
    <xdr:clientData/>
  </xdr:twoCellAnchor>
  <xdr:oneCellAnchor>
    <xdr:from>
      <xdr:col>1</xdr:col>
      <xdr:colOff>1028700</xdr:colOff>
      <xdr:row>0</xdr:row>
      <xdr:rowOff>114300</xdr:rowOff>
    </xdr:from>
    <xdr:ext cx="184731" cy="26456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266950"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1000124</xdr:colOff>
      <xdr:row>1</xdr:row>
      <xdr:rowOff>6350</xdr:rowOff>
    </xdr:from>
    <xdr:to>
      <xdr:col>7</xdr:col>
      <xdr:colOff>2549524</xdr:colOff>
      <xdr:row>2</xdr:row>
      <xdr:rowOff>12700</xdr:rowOff>
    </xdr:to>
    <xdr:sp macro="[0]!Sheet6.DuplicateSheetMultipleTimes" textlink="">
      <xdr:nvSpPr>
        <xdr:cNvPr id="7" name="Rectangle 6">
          <a:extLst>
            <a:ext uri="{FF2B5EF4-FFF2-40B4-BE49-F238E27FC236}">
              <a16:creationId xmlns:a16="http://schemas.microsoft.com/office/drawing/2014/main" id="{00000000-0008-0000-0000-000007000000}"/>
            </a:ext>
          </a:extLst>
        </xdr:cNvPr>
        <xdr:cNvSpPr/>
      </xdr:nvSpPr>
      <xdr:spPr>
        <a:xfrm>
          <a:off x="19859624" y="196850"/>
          <a:ext cx="1549400" cy="19685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xdr:oneCellAnchor>
    <xdr:from>
      <xdr:col>1</xdr:col>
      <xdr:colOff>1028700</xdr:colOff>
      <xdr:row>0</xdr:row>
      <xdr:rowOff>114300</xdr:rowOff>
    </xdr:from>
    <xdr:ext cx="184731"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705225"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1000124</xdr:colOff>
      <xdr:row>1</xdr:row>
      <xdr:rowOff>6350</xdr:rowOff>
    </xdr:from>
    <xdr:to>
      <xdr:col>7</xdr:col>
      <xdr:colOff>2549524</xdr:colOff>
      <xdr:row>2</xdr:row>
      <xdr:rowOff>12700</xdr:rowOff>
    </xdr:to>
    <xdr:sp macro="[1]!Sheet6.DuplicateSheetMultipleTimes" textlink="">
      <xdr:nvSpPr>
        <xdr:cNvPr id="6" name="Rectangle 5">
          <a:extLst>
            <a:ext uri="{FF2B5EF4-FFF2-40B4-BE49-F238E27FC236}">
              <a16:creationId xmlns:a16="http://schemas.microsoft.com/office/drawing/2014/main" id="{00000000-0008-0000-0000-000006000000}"/>
            </a:ext>
          </a:extLst>
        </xdr:cNvPr>
        <xdr:cNvSpPr/>
      </xdr:nvSpPr>
      <xdr:spPr>
        <a:xfrm>
          <a:off x="18316574"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xdr:oneCellAnchor>
    <xdr:from>
      <xdr:col>1</xdr:col>
      <xdr:colOff>1028700</xdr:colOff>
      <xdr:row>0</xdr:row>
      <xdr:rowOff>114300</xdr:rowOff>
    </xdr:from>
    <xdr:ext cx="184731" cy="264560"/>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952875"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1000124</xdr:colOff>
      <xdr:row>1</xdr:row>
      <xdr:rowOff>6350</xdr:rowOff>
    </xdr:from>
    <xdr:to>
      <xdr:col>7</xdr:col>
      <xdr:colOff>2549524</xdr:colOff>
      <xdr:row>2</xdr:row>
      <xdr:rowOff>12700</xdr:rowOff>
    </xdr:to>
    <xdr:sp macro="[0]!Sheet6.DuplicateSheetMultipleTimes" textlink="">
      <xdr:nvSpPr>
        <xdr:cNvPr id="9" name="Rectangle 8">
          <a:extLst>
            <a:ext uri="{FF2B5EF4-FFF2-40B4-BE49-F238E27FC236}">
              <a16:creationId xmlns:a16="http://schemas.microsoft.com/office/drawing/2014/main" id="{00000000-0008-0000-0000-000009000000}"/>
            </a:ext>
          </a:extLst>
        </xdr:cNvPr>
        <xdr:cNvSpPr/>
      </xdr:nvSpPr>
      <xdr:spPr>
        <a:xfrm>
          <a:off x="20192999"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mc:AlternateContent xmlns:mc="http://schemas.openxmlformats.org/markup-compatibility/2006">
    <mc:Choice xmlns:a14="http://schemas.microsoft.com/office/drawing/2010/main" Requires="a14">
      <xdr:twoCellAnchor>
        <xdr:from>
          <xdr:col>4</xdr:col>
          <xdr:colOff>66675</xdr:colOff>
          <xdr:row>0</xdr:row>
          <xdr:rowOff>85725</xdr:rowOff>
        </xdr:from>
        <xdr:to>
          <xdr:col>5</xdr:col>
          <xdr:colOff>2181225</xdr:colOff>
          <xdr:row>1</xdr:row>
          <xdr:rowOff>114300</xdr:rowOff>
        </xdr:to>
        <xdr:sp macro="" textlink="">
          <xdr:nvSpPr>
            <xdr:cNvPr id="1437" name="Button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 Button</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78241</xdr:colOff>
      <xdr:row>45</xdr:row>
      <xdr:rowOff>18201</xdr:rowOff>
    </xdr:from>
    <xdr:to>
      <xdr:col>5</xdr:col>
      <xdr:colOff>1870982</xdr:colOff>
      <xdr:row>205</xdr:row>
      <xdr:rowOff>113393</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361589" y="7748759"/>
          <a:ext cx="6155531" cy="27462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*********MANUAL</a:t>
          </a:r>
          <a:r>
            <a:rPr lang="en-US" sz="1100" baseline="0">
              <a:solidFill>
                <a:schemeClr val="dk1"/>
              </a:solidFill>
              <a:effectLst/>
              <a:latin typeface="+mn-lt"/>
              <a:ea typeface="+mn-ea"/>
              <a:cs typeface="+mn-cs"/>
            </a:rPr>
            <a:t> NOTES***********</a:t>
          </a:r>
        </a:p>
        <a:p>
          <a:r>
            <a:rPr lang="en-US" sz="1100" baseline="0">
              <a:solidFill>
                <a:schemeClr val="dk1"/>
              </a:solidFill>
              <a:effectLst/>
              <a:latin typeface="+mn-lt"/>
              <a:ea typeface="+mn-ea"/>
              <a:cs typeface="+mn-cs"/>
            </a:rPr>
            <a:t>*****FILE NOTE*****</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*****INCOME*****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*****CREDIT*****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*****ASSET*****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*****Fraud Guard*****</a:t>
          </a:r>
        </a:p>
      </xdr:txBody>
    </xdr:sp>
    <xdr:clientData/>
  </xdr:twoCellAnchor>
  <xdr:oneCellAnchor>
    <xdr:from>
      <xdr:col>1</xdr:col>
      <xdr:colOff>1028700</xdr:colOff>
      <xdr:row>0</xdr:row>
      <xdr:rowOff>114300</xdr:rowOff>
    </xdr:from>
    <xdr:ext cx="184731" cy="26456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733800"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6</xdr:col>
      <xdr:colOff>1000124</xdr:colOff>
      <xdr:row>1</xdr:row>
      <xdr:rowOff>6350</xdr:rowOff>
    </xdr:from>
    <xdr:to>
      <xdr:col>6</xdr:col>
      <xdr:colOff>2549524</xdr:colOff>
      <xdr:row>2</xdr:row>
      <xdr:rowOff>12700</xdr:rowOff>
    </xdr:to>
    <xdr:sp macro="[0]!Sheet6.DuplicateSheetMultipleTimes" textlink="">
      <xdr:nvSpPr>
        <xdr:cNvPr id="4" name="Rectangle 3">
          <a:extLst>
            <a:ext uri="{FF2B5EF4-FFF2-40B4-BE49-F238E27FC236}">
              <a16:creationId xmlns:a16="http://schemas.microsoft.com/office/drawing/2014/main" id="{00000000-0008-0000-0100-000004000000}"/>
            </a:ext>
          </a:extLst>
        </xdr:cNvPr>
        <xdr:cNvSpPr/>
      </xdr:nvSpPr>
      <xdr:spPr>
        <a:xfrm>
          <a:off x="18183224"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xdr:twoCellAnchor>
    <xdr:from>
      <xdr:col>6</xdr:col>
      <xdr:colOff>1000124</xdr:colOff>
      <xdr:row>1</xdr:row>
      <xdr:rowOff>6350</xdr:rowOff>
    </xdr:from>
    <xdr:to>
      <xdr:col>6</xdr:col>
      <xdr:colOff>2549524</xdr:colOff>
      <xdr:row>2</xdr:row>
      <xdr:rowOff>12700</xdr:rowOff>
    </xdr:to>
    <xdr:sp macro="[0]!Sheet6.DuplicateSheetMultipleTimes" textlink="">
      <xdr:nvSpPr>
        <xdr:cNvPr id="6" name="Rectangle 5">
          <a:extLst>
            <a:ext uri="{FF2B5EF4-FFF2-40B4-BE49-F238E27FC236}">
              <a16:creationId xmlns:a16="http://schemas.microsoft.com/office/drawing/2014/main" id="{00000000-0008-0000-0100-000006000000}"/>
            </a:ext>
          </a:extLst>
        </xdr:cNvPr>
        <xdr:cNvSpPr/>
      </xdr:nvSpPr>
      <xdr:spPr>
        <a:xfrm>
          <a:off x="16525874"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mc:AlternateContent xmlns:mc="http://schemas.openxmlformats.org/markup-compatibility/2006">
    <mc:Choice xmlns:a14="http://schemas.microsoft.com/office/drawing/2010/main" Requires="a14">
      <xdr:twoCellAnchor>
        <xdr:from>
          <xdr:col>2</xdr:col>
          <xdr:colOff>723900</xdr:colOff>
          <xdr:row>0</xdr:row>
          <xdr:rowOff>85725</xdr:rowOff>
        </xdr:from>
        <xdr:to>
          <xdr:col>3</xdr:col>
          <xdr:colOff>1752600</xdr:colOff>
          <xdr:row>1</xdr:row>
          <xdr:rowOff>114300</xdr:rowOff>
        </xdr:to>
        <xdr:sp macro="" textlink="">
          <xdr:nvSpPr>
            <xdr:cNvPr id="47389" name="Button 285" hidden="1">
              <a:extLst>
                <a:ext uri="{63B3BB69-23CF-44E3-9099-C40C66FF867C}">
                  <a14:compatExt spid="_x0000_s47389"/>
                </a:ext>
                <a:ext uri="{FF2B5EF4-FFF2-40B4-BE49-F238E27FC236}">
                  <a16:creationId xmlns:a16="http://schemas.microsoft.com/office/drawing/2014/main" id="{00000000-0008-0000-0100-00001DB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 Button</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78241</xdr:colOff>
      <xdr:row>45</xdr:row>
      <xdr:rowOff>18201</xdr:rowOff>
    </xdr:from>
    <xdr:to>
      <xdr:col>5</xdr:col>
      <xdr:colOff>1870982</xdr:colOff>
      <xdr:row>205</xdr:row>
      <xdr:rowOff>113393</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364991" y="7771551"/>
          <a:ext cx="6555241" cy="276510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*********MANUAL</a:t>
          </a:r>
          <a:r>
            <a:rPr lang="en-US" sz="1100" baseline="0">
              <a:solidFill>
                <a:schemeClr val="dk1"/>
              </a:solidFill>
              <a:effectLst/>
              <a:latin typeface="+mn-lt"/>
              <a:ea typeface="+mn-ea"/>
              <a:cs typeface="+mn-cs"/>
            </a:rPr>
            <a:t> NOTES***********</a:t>
          </a:r>
        </a:p>
        <a:p>
          <a:r>
            <a:rPr lang="en-US" sz="1100" baseline="0">
              <a:solidFill>
                <a:schemeClr val="dk1"/>
              </a:solidFill>
              <a:effectLst/>
              <a:latin typeface="+mn-lt"/>
              <a:ea typeface="+mn-ea"/>
              <a:cs typeface="+mn-cs"/>
            </a:rPr>
            <a:t>*****FILE NOTE*****</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*****INCOME*****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*****CREDIT*****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*****ASSET*****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*****Fraud Guard*****</a:t>
          </a:r>
        </a:p>
      </xdr:txBody>
    </xdr:sp>
    <xdr:clientData/>
  </xdr:twoCellAnchor>
  <xdr:oneCellAnchor>
    <xdr:from>
      <xdr:col>1</xdr:col>
      <xdr:colOff>1028700</xdr:colOff>
      <xdr:row>0</xdr:row>
      <xdr:rowOff>114300</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705225"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6</xdr:col>
      <xdr:colOff>1000124</xdr:colOff>
      <xdr:row>1</xdr:row>
      <xdr:rowOff>6350</xdr:rowOff>
    </xdr:from>
    <xdr:to>
      <xdr:col>6</xdr:col>
      <xdr:colOff>2549524</xdr:colOff>
      <xdr:row>2</xdr:row>
      <xdr:rowOff>12700</xdr:rowOff>
    </xdr:to>
    <xdr:sp macro="[0]!Sheet6.DuplicateSheetMultipleTimes" textlink="">
      <xdr:nvSpPr>
        <xdr:cNvPr id="4" name="Rectangle 3">
          <a:extLst>
            <a:ext uri="{FF2B5EF4-FFF2-40B4-BE49-F238E27FC236}">
              <a16:creationId xmlns:a16="http://schemas.microsoft.com/office/drawing/2014/main" id="{00000000-0008-0000-0200-000004000000}"/>
            </a:ext>
          </a:extLst>
        </xdr:cNvPr>
        <xdr:cNvSpPr/>
      </xdr:nvSpPr>
      <xdr:spPr>
        <a:xfrm>
          <a:off x="16525874"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xdr:twoCellAnchor>
    <xdr:from>
      <xdr:col>6</xdr:col>
      <xdr:colOff>1000124</xdr:colOff>
      <xdr:row>1</xdr:row>
      <xdr:rowOff>6350</xdr:rowOff>
    </xdr:from>
    <xdr:to>
      <xdr:col>6</xdr:col>
      <xdr:colOff>2549524</xdr:colOff>
      <xdr:row>2</xdr:row>
      <xdr:rowOff>12700</xdr:rowOff>
    </xdr:to>
    <xdr:sp macro="[0]!Sheet6.DuplicateSheetMultipleTimes" textlink="">
      <xdr:nvSpPr>
        <xdr:cNvPr id="6" name="Rectangle 5">
          <a:extLst>
            <a:ext uri="{FF2B5EF4-FFF2-40B4-BE49-F238E27FC236}">
              <a16:creationId xmlns:a16="http://schemas.microsoft.com/office/drawing/2014/main" id="{00000000-0008-0000-0200-000006000000}"/>
            </a:ext>
          </a:extLst>
        </xdr:cNvPr>
        <xdr:cNvSpPr/>
      </xdr:nvSpPr>
      <xdr:spPr>
        <a:xfrm>
          <a:off x="16525874" y="206375"/>
          <a:ext cx="1549400" cy="2063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New Sheet</a:t>
          </a:r>
        </a:p>
      </xdr:txBody>
    </xdr:sp>
    <xdr:clientData/>
  </xdr:twoCellAnchor>
  <mc:AlternateContent xmlns:mc="http://schemas.openxmlformats.org/markup-compatibility/2006">
    <mc:Choice xmlns:a14="http://schemas.microsoft.com/office/drawing/2010/main" Requires="a14">
      <xdr:twoCellAnchor>
        <xdr:from>
          <xdr:col>2</xdr:col>
          <xdr:colOff>723900</xdr:colOff>
          <xdr:row>0</xdr:row>
          <xdr:rowOff>85725</xdr:rowOff>
        </xdr:from>
        <xdr:to>
          <xdr:col>3</xdr:col>
          <xdr:colOff>1752600</xdr:colOff>
          <xdr:row>1</xdr:row>
          <xdr:rowOff>114300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200-000002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 Button</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mcbrair/Desktop/Encompass%20Worksheet%20Working%20(version%201)12_17_2021%20(version%201)%20(version%201).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HA Master Sheet"/>
      <sheetName val="CONV Master Sheet "/>
      <sheetName val="Raber(test case)"/>
      <sheetName val="Pietranek(test Case)"/>
      <sheetName val="Jackson(test case)"/>
      <sheetName val="Griggs(test Case)"/>
      <sheetName val="Haugh(test case)"/>
      <sheetName val="Tartt(test case)"/>
      <sheetName val="McCuster(test Case)"/>
      <sheetName val="Curro"/>
      <sheetName val="Kerber"/>
      <sheetName val="Smith"/>
      <sheetName val="Conroy"/>
      <sheetName val="Smith(2)"/>
      <sheetName val="Venkata "/>
      <sheetName val="Holt"/>
      <sheetName val="Carlson"/>
      <sheetName val="Cisneros"/>
      <sheetName val="Yoon12345"/>
      <sheetName val="Choi"/>
      <sheetName val="Hamilton"/>
      <sheetName val="Pampalone"/>
      <sheetName val="IqBal"/>
      <sheetName val="Shuster"/>
      <sheetName val="Pineda"/>
      <sheetName val="Cannon"/>
      <sheetName val="Gasaway"/>
      <sheetName val="Collins"/>
      <sheetName val="Heath"/>
      <sheetName val="Herman(PL + Balance Sheet)"/>
      <sheetName val="Staugler"/>
      <sheetName val="Singh"/>
      <sheetName val="Draayer"/>
      <sheetName val="Barry"/>
      <sheetName val="Balavender"/>
      <sheetName val="Lorenzo"/>
      <sheetName val="Petty"/>
      <sheetName val="Maracle"/>
      <sheetName val="Zubke"/>
      <sheetName val="Kashyap"/>
      <sheetName val="Ross"/>
      <sheetName val="Rodionov"/>
      <sheetName val="Hendrie"/>
      <sheetName val="Dayalan"/>
      <sheetName val="Reigert"/>
      <sheetName val="Pellegrini"/>
      <sheetName val="Manrique"/>
      <sheetName val="Matthews"/>
      <sheetName val="Hunter"/>
      <sheetName val="Vogt"/>
      <sheetName val="Jolly"/>
      <sheetName val="Frankle"/>
      <sheetName val="Dray"/>
      <sheetName val="Reece(Decline)"/>
      <sheetName val="Gadea"/>
      <sheetName val="Im"/>
      <sheetName val="Jansen"/>
      <sheetName val="Maldonado"/>
      <sheetName val="Cross"/>
      <sheetName val="Crepulja"/>
      <sheetName val="Betancourth"/>
      <sheetName val="Wood"/>
      <sheetName val="Graham"/>
      <sheetName val="Kelly"/>
      <sheetName val="Lin"/>
      <sheetName val="Patidar"/>
      <sheetName val="MacLachlan"/>
      <sheetName val="Brown1234355665"/>
      <sheetName val="Davis(101 Milwaukee)"/>
      <sheetName val="Davis(800 S Jefferson)"/>
      <sheetName val="Davis(211 E 17th)"/>
      <sheetName val="Deshmukh"/>
      <sheetName val="Finley"/>
      <sheetName val="Tilstra"/>
      <sheetName val="Lazanowski"/>
      <sheetName val="Fernandez"/>
      <sheetName val="Swanson"/>
      <sheetName val="Piya"/>
      <sheetName val="Bagchi"/>
      <sheetName val="Burks"/>
      <sheetName val="1Hughes"/>
      <sheetName val="Omidy"/>
      <sheetName val="Smith2"/>
      <sheetName val="Samsky"/>
      <sheetName val="Little"/>
      <sheetName val="Chou"/>
      <sheetName val="Mersky"/>
      <sheetName val="Scheibe"/>
      <sheetName val="Weisman"/>
      <sheetName val="Lam"/>
      <sheetName val="Smit"/>
      <sheetName val="Luchko"/>
      <sheetName val="Potter"/>
      <sheetName val="Schaff"/>
      <sheetName val="West"/>
      <sheetName val="Murray"/>
      <sheetName val="Mace"/>
      <sheetName val="Chuey"/>
      <sheetName val="Gerosa"/>
      <sheetName val="Kelly2"/>
      <sheetName val="Carrasco"/>
      <sheetName val="Campell"/>
      <sheetName val="Smith3"/>
      <sheetName val="Castillo"/>
      <sheetName val="Turner(tisha)"/>
      <sheetName val="Prempeh"/>
      <sheetName val="Brower"/>
      <sheetName val="Brode"/>
      <sheetName val="Slonh"/>
      <sheetName val="Urbina"/>
      <sheetName val="Southerland"/>
      <sheetName val="Nye"/>
      <sheetName val="Zhou"/>
      <sheetName val="Itner"/>
      <sheetName val="Keily"/>
      <sheetName val="Stump"/>
      <sheetName val="Logan"/>
      <sheetName val="Smid"/>
      <sheetName val="Lyall"/>
      <sheetName val="Harville"/>
      <sheetName val="Perez"/>
      <sheetName val="Delatorre"/>
      <sheetName val="Taylor"/>
      <sheetName val="Mercer"/>
      <sheetName val="Ulrich565465"/>
      <sheetName val="Millan"/>
      <sheetName val="Howard"/>
      <sheetName val="Cook"/>
      <sheetName val="Krupp"/>
      <sheetName val="Cooper"/>
      <sheetName val="Keifer"/>
      <sheetName val="Chesler"/>
      <sheetName val="Miola"/>
      <sheetName val="Hullander"/>
      <sheetName val="Medice"/>
      <sheetName val="early"/>
      <sheetName val="Madera"/>
      <sheetName val="Griggs"/>
      <sheetName val="Carson"/>
      <sheetName val="Goyal"/>
      <sheetName val="Lopez"/>
      <sheetName val="Shenk"/>
      <sheetName val="Gutierrez"/>
      <sheetName val="Richards"/>
      <sheetName val="Noel"/>
      <sheetName val="Young"/>
      <sheetName val="Vergili"/>
      <sheetName val="Trivino"/>
      <sheetName val="Pursley"/>
      <sheetName val="Oneel"/>
      <sheetName val="Sapkota"/>
      <sheetName val="Dinneweth"/>
      <sheetName val="Mazzella"/>
      <sheetName val="Adams"/>
      <sheetName val="Hedquist"/>
      <sheetName val="RIce"/>
      <sheetName val="Ranieri"/>
      <sheetName val="Reeves"/>
      <sheetName val="Pulliam"/>
      <sheetName val="Barcelona"/>
      <sheetName val="Belcastro"/>
      <sheetName val="Gallegos"/>
      <sheetName val="Scott"/>
      <sheetName val="Edwards"/>
      <sheetName val="Mills"/>
      <sheetName val="Zazworsky"/>
      <sheetName val="Jones(dylan)"/>
      <sheetName val="Borgia"/>
      <sheetName val="Reno"/>
      <sheetName val="Compton"/>
      <sheetName val="Drum"/>
      <sheetName val="Hopkins"/>
      <sheetName val="Monterroso"/>
      <sheetName val="Torre"/>
      <sheetName val="Espinoza"/>
      <sheetName val="Tang"/>
      <sheetName val="Noggle"/>
      <sheetName val="Watson"/>
      <sheetName val="Queen"/>
      <sheetName val="Adcock"/>
      <sheetName val="Noor"/>
      <sheetName val="Pentapalli"/>
      <sheetName val="Dorff"/>
      <sheetName val="Vetter"/>
      <sheetName val="Hicks"/>
      <sheetName val="Han"/>
      <sheetName val="Tolowitzki"/>
      <sheetName val="Weinstein"/>
      <sheetName val="Beach"/>
      <sheetName val="Zalayet"/>
      <sheetName val="Hampton"/>
      <sheetName val="Cruz"/>
      <sheetName val="Kay(old)"/>
      <sheetName val="Wolfe"/>
      <sheetName val="Weintraub"/>
      <sheetName val="Carrasco2"/>
      <sheetName val="Russell"/>
      <sheetName val="Piche"/>
      <sheetName val="Thach"/>
      <sheetName val="Chapoy"/>
      <sheetName val="Carter"/>
      <sheetName val="Peterson"/>
      <sheetName val="Ko"/>
      <sheetName val="Muthu"/>
      <sheetName val="King"/>
      <sheetName val="Moore(Casey)"/>
      <sheetName val="Shirodkar"/>
      <sheetName val="Wong"/>
      <sheetName val="Perez2"/>
      <sheetName val="Ramos"/>
      <sheetName val="Kelly3"/>
      <sheetName val="Ali"/>
      <sheetName val="Koduru"/>
      <sheetName val="Beattie"/>
      <sheetName val="Keller"/>
      <sheetName val="Bull"/>
      <sheetName val="Dobbs"/>
      <sheetName val="Galloway"/>
      <sheetName val="Hlavacek"/>
      <sheetName val="Thangavel"/>
      <sheetName val="McNulty"/>
      <sheetName val="Cheema"/>
      <sheetName val="Bernard(melissa)"/>
      <sheetName val="Heine"/>
      <sheetName val="Sobiech"/>
      <sheetName val="Speck"/>
      <sheetName val="Dresden"/>
      <sheetName val="Peirce"/>
      <sheetName val="Green"/>
      <sheetName val="Romano"/>
      <sheetName val="Newton"/>
      <sheetName val="Kuppili"/>
      <sheetName val="Gruenspecht"/>
      <sheetName val="Rios"/>
      <sheetName val="Shaw"/>
      <sheetName val="Amarillo"/>
      <sheetName val="Herbsman"/>
      <sheetName val="Sen"/>
      <sheetName val="Lange"/>
      <sheetName val="Wu"/>
      <sheetName val="HIgnite"/>
      <sheetName val="Doyle"/>
      <sheetName val="Walker"/>
      <sheetName val="Harrison"/>
      <sheetName val="Smith4"/>
      <sheetName val="Mastin"/>
      <sheetName val="Baxter"/>
      <sheetName val="Callahan"/>
      <sheetName val="Croom"/>
      <sheetName val="Ramorez"/>
      <sheetName val="Au"/>
      <sheetName val="Gornik"/>
      <sheetName val="Sprayberry"/>
      <sheetName val="McDougal"/>
      <sheetName val="Laurant"/>
      <sheetName val="Flood"/>
      <sheetName val="Basson"/>
      <sheetName val="Luedecke"/>
      <sheetName val="Clarkson"/>
      <sheetName val="Newman"/>
      <sheetName val="Fey"/>
      <sheetName val="Falco"/>
      <sheetName val="Buren"/>
      <sheetName val="McGowan"/>
      <sheetName val="Ross2"/>
      <sheetName val="Phan"/>
      <sheetName val="Pillow"/>
      <sheetName val="Bommisetti"/>
      <sheetName val="Stolk"/>
      <sheetName val="Robinson"/>
      <sheetName val="Quinlan"/>
      <sheetName val="Johnson"/>
      <sheetName val="Jovanovic"/>
      <sheetName val="Boyd"/>
      <sheetName val="Mehnert"/>
      <sheetName val="Delcambre"/>
      <sheetName val="Martin"/>
      <sheetName val="Leavitt"/>
      <sheetName val="Gomez"/>
      <sheetName val="Monroe"/>
      <sheetName val="Duong"/>
      <sheetName val="Nair"/>
      <sheetName val="Blocher"/>
      <sheetName val="Patton"/>
      <sheetName val="Srinivasan"/>
      <sheetName val="Shepard"/>
      <sheetName val="Narula"/>
      <sheetName val="Nowlin"/>
      <sheetName val="Murlin"/>
      <sheetName val="Gowra"/>
      <sheetName val="Robison"/>
      <sheetName val="Molina"/>
      <sheetName val="Kasprick"/>
      <sheetName val="Beck"/>
      <sheetName val="Ashur"/>
      <sheetName val="Grossman"/>
      <sheetName val="Noaki"/>
      <sheetName val="Rodriguez9999"/>
      <sheetName val="Garland"/>
      <sheetName val="Linholm"/>
      <sheetName val="Bannan"/>
      <sheetName val="Bossard"/>
      <sheetName val="Ringger"/>
      <sheetName val="Hust"/>
      <sheetName val="Wheeler"/>
      <sheetName val="Lewis"/>
      <sheetName val="Palefsky"/>
      <sheetName val="Moitra"/>
      <sheetName val="Parakh"/>
      <sheetName val="Fraser"/>
      <sheetName val="Grimm"/>
      <sheetName val="Sapsford"/>
      <sheetName val="Browne"/>
      <sheetName val="Brinkmoeller"/>
      <sheetName val="Chauvin"/>
      <sheetName val="Ho"/>
      <sheetName val="Jacob"/>
      <sheetName val="Orellana"/>
      <sheetName val="Tcherepachenets"/>
      <sheetName val="Salas"/>
      <sheetName val="Pearson(Tuesday)"/>
      <sheetName val="Howell"/>
      <sheetName val="Stoddard"/>
      <sheetName val="Pereyra"/>
      <sheetName val="Hall"/>
      <sheetName val="Franco"/>
      <sheetName val="Steiner"/>
      <sheetName val="Dubrosky"/>
      <sheetName val="Suguino"/>
      <sheetName val="Obrien"/>
      <sheetName val="Hayes"/>
      <sheetName val="Speaker"/>
      <sheetName val="Sedelbauer"/>
      <sheetName val="Carr"/>
      <sheetName val="Dhingra"/>
      <sheetName val="Patel"/>
      <sheetName val="Deshpande"/>
      <sheetName val="Bernard2(Melissa)"/>
      <sheetName val="Adkins"/>
      <sheetName val="Saunders"/>
      <sheetName val="Seo"/>
      <sheetName val="Kujat"/>
      <sheetName val="Mimo"/>
      <sheetName val="Blandin"/>
      <sheetName val="Unzueta"/>
      <sheetName val="Pack"/>
      <sheetName val="Bartakovich"/>
      <sheetName val="Boulden"/>
      <sheetName val="Hotchkiss"/>
      <sheetName val="Phelps"/>
      <sheetName val="Montano"/>
      <sheetName val="Lapray"/>
      <sheetName val="Tejeda"/>
      <sheetName val="Boone"/>
      <sheetName val="Lewis2"/>
      <sheetName val="Myhre"/>
      <sheetName val="Miller"/>
      <sheetName val="Hameed"/>
      <sheetName val="Zuckerman"/>
      <sheetName val="Stofel"/>
      <sheetName val="Schmaltz"/>
      <sheetName val="Bommala"/>
      <sheetName val="String"/>
      <sheetName val="Hash"/>
      <sheetName val="Shepard2"/>
      <sheetName val="Johnson2"/>
      <sheetName val="Anderson"/>
      <sheetName val="Liyanage"/>
      <sheetName val="Matthews2"/>
      <sheetName val="Roy"/>
      <sheetName val="McNichol"/>
      <sheetName val="Rasbury"/>
      <sheetName val="Gallagher"/>
      <sheetName val="Johnson3"/>
      <sheetName val="Smith5"/>
      <sheetName val="Thompson"/>
      <sheetName val="Planas"/>
      <sheetName val="Nguyen"/>
      <sheetName val="Richardson"/>
      <sheetName val="Nielsen"/>
      <sheetName val="Havens"/>
      <sheetName val="Blankenship"/>
      <sheetName val="Lockhart"/>
      <sheetName val="Leon"/>
      <sheetName val="Haynes"/>
      <sheetName val="Griffith"/>
      <sheetName val="Hughes2"/>
      <sheetName val="Rodriguez"/>
      <sheetName val="Lang"/>
      <sheetName val="Thibodeaux"/>
      <sheetName val="Hulen"/>
      <sheetName val="Khanal"/>
      <sheetName val="Singh(parminder)"/>
      <sheetName val="Ziv"/>
      <sheetName val="Esperti"/>
      <sheetName val="Chionuma(rental)"/>
      <sheetName val="Marek"/>
      <sheetName val="Davis"/>
      <sheetName val="Benedetto"/>
      <sheetName val="Molnar"/>
      <sheetName val="Doffing"/>
      <sheetName val="Belcher(old)"/>
      <sheetName val="Riordan"/>
      <sheetName val="Shroyer"/>
      <sheetName val="Flavin"/>
      <sheetName val="Dow"/>
      <sheetName val="Hunn"/>
      <sheetName val="unzicker"/>
      <sheetName val="Balley"/>
      <sheetName val="Ramirez"/>
      <sheetName val="Terry"/>
      <sheetName val="Fran"/>
      <sheetName val="Foreman"/>
      <sheetName val="Chacko"/>
      <sheetName val="Twumwaa"/>
      <sheetName val="Deodhar"/>
      <sheetName val="Tindol"/>
      <sheetName val="Wastie"/>
      <sheetName val="Rabon"/>
      <sheetName val="Rauschkolb"/>
      <sheetName val="Allen"/>
      <sheetName val="Brockman"/>
      <sheetName val="Marx"/>
      <sheetName val="Krouse"/>
      <sheetName val="Knapp"/>
      <sheetName val="Cruseturner"/>
      <sheetName val="black"/>
      <sheetName val="Freudenberg"/>
      <sheetName val="Do"/>
      <sheetName val="Motch"/>
      <sheetName val="Richard"/>
      <sheetName val="Muthuperumal"/>
      <sheetName val="Judd"/>
      <sheetName val="Luchko2"/>
      <sheetName val="Hautmann"/>
      <sheetName val="Welch"/>
      <sheetName val="Mills2"/>
      <sheetName val="Synnestvedt"/>
      <sheetName val="Tyminski"/>
      <sheetName val="Killebrew"/>
      <sheetName val="Greenwood"/>
      <sheetName val="Daniel"/>
      <sheetName val="Soni"/>
      <sheetName val="Gockenbach"/>
      <sheetName val="Min"/>
      <sheetName val="Weber"/>
      <sheetName val="Rocha"/>
      <sheetName val="Ranjan"/>
      <sheetName val="Bejrowski"/>
      <sheetName val="Sowder"/>
      <sheetName val="Wrenn"/>
      <sheetName val="Carrasco3"/>
      <sheetName val="Harrington"/>
      <sheetName val="Mikalson"/>
      <sheetName val="Wahid"/>
      <sheetName val="Schram"/>
      <sheetName val="Akra"/>
      <sheetName val="Pollio"/>
      <sheetName val="Covert"/>
      <sheetName val="Sawyer"/>
      <sheetName val="Chambers"/>
      <sheetName val="Erdos"/>
      <sheetName val="Sykes"/>
      <sheetName val="Bergen"/>
      <sheetName val="Brown2345234"/>
      <sheetName val="Bauer"/>
      <sheetName val="Ferguson"/>
      <sheetName val="Gonzalez"/>
      <sheetName val="Killman"/>
      <sheetName val="Zorilla"/>
      <sheetName val="Joglekar"/>
      <sheetName val="Patali"/>
      <sheetName val="Shapiro"/>
      <sheetName val="Bonnes"/>
      <sheetName val="Walker2"/>
      <sheetName val="Li"/>
      <sheetName val="Hoggard"/>
      <sheetName val="Varatharaj"/>
      <sheetName val="Gourishetty "/>
      <sheetName val="Pyykkonen"/>
      <sheetName val="Zhou(Tianli)"/>
      <sheetName val="Johnson4"/>
      <sheetName val="Yoon2"/>
      <sheetName val="Munguia"/>
      <sheetName val="Bretthauer"/>
      <sheetName val="Chen"/>
      <sheetName val="parks-smith"/>
      <sheetName val="Tomlinson"/>
      <sheetName val="Suh"/>
      <sheetName val="Luong"/>
      <sheetName val="Baram"/>
      <sheetName val="Ross3"/>
      <sheetName val="Beres"/>
      <sheetName val="Smith(Daniel)"/>
      <sheetName val="Owens"/>
      <sheetName val="Trainor"/>
      <sheetName val="Lapin"/>
      <sheetName val="Edwards2"/>
      <sheetName val="Huang"/>
      <sheetName val="Pettit"/>
      <sheetName val="Zhang"/>
      <sheetName val="McLaughlin"/>
      <sheetName val="Fraser2"/>
      <sheetName val="Yildiz"/>
      <sheetName val="Thorn"/>
      <sheetName val="Ellinwood"/>
      <sheetName val="Jones2"/>
      <sheetName val="Powell"/>
      <sheetName val="Clark"/>
      <sheetName val="Ikram"/>
      <sheetName val="Staub"/>
      <sheetName val="Wilder"/>
      <sheetName val="Craig"/>
      <sheetName val="Brown"/>
      <sheetName val="Rothenburger"/>
      <sheetName val="McDonald(Amy)"/>
      <sheetName val="Craig2"/>
      <sheetName val="Jackson"/>
      <sheetName val="Mithal"/>
      <sheetName val="Barney"/>
      <sheetName val="Whittier"/>
      <sheetName val="Shealey"/>
      <sheetName val="Lewis3"/>
      <sheetName val="Lira"/>
      <sheetName val="Roy2"/>
      <sheetName val="Huber"/>
      <sheetName val="McBee"/>
      <sheetName val="Dossou"/>
      <sheetName val="Ferraro"/>
      <sheetName val="Marsh"/>
      <sheetName val="Reece"/>
      <sheetName val="Duben"/>
      <sheetName val="Turner2"/>
      <sheetName val="Carter2"/>
      <sheetName val="Salawu"/>
      <sheetName val="Fitz"/>
      <sheetName val="Fareed"/>
      <sheetName val="Turner3"/>
      <sheetName val="Cazaubon"/>
      <sheetName val="Rickards"/>
      <sheetName val="Corso"/>
      <sheetName val="Borgia2"/>
      <sheetName val="Mullins"/>
      <sheetName val="Snow"/>
      <sheetName val="Carnicello"/>
      <sheetName val="DIcks"/>
      <sheetName val="Haeri"/>
      <sheetName val="Buyyarapu"/>
      <sheetName val="Patel2"/>
      <sheetName val="Culberson"/>
      <sheetName val="Macias"/>
      <sheetName val="Harb(David1)"/>
      <sheetName val="Brown2"/>
      <sheetName val="Runyon"/>
      <sheetName val="Ristov"/>
      <sheetName val="Duval"/>
      <sheetName val="Heredia"/>
      <sheetName val="Pollard"/>
      <sheetName val="Mullen"/>
      <sheetName val="Rippere"/>
      <sheetName val="McDonald"/>
      <sheetName val="Mazumdar"/>
      <sheetName val="Huang2"/>
      <sheetName val="Henry"/>
      <sheetName val="Bosshart"/>
      <sheetName val="Andkhoie"/>
      <sheetName val="Montejeno"/>
      <sheetName val="Punzel"/>
      <sheetName val="Pearson2"/>
      <sheetName val="Pierce"/>
      <sheetName val="Pallati"/>
      <sheetName val="Dold"/>
      <sheetName val="Moore(darrell)"/>
      <sheetName val="Gordon"/>
      <sheetName val="Ng"/>
      <sheetName val="Allen2"/>
      <sheetName val="Hughes"/>
      <sheetName val="Albert"/>
      <sheetName val="Moore"/>
      <sheetName val="Lee"/>
      <sheetName val="Abraham"/>
      <sheetName val="Ella"/>
      <sheetName val="Bauer2"/>
      <sheetName val="Newman2"/>
      <sheetName val="Wheeler2"/>
      <sheetName val="Zorovich"/>
      <sheetName val="Dybdahl"/>
      <sheetName val="Harmon"/>
      <sheetName val="Waldon"/>
      <sheetName val="Maluendes"/>
      <sheetName val="Chambers2"/>
      <sheetName val="Pak"/>
      <sheetName val="Stubbins"/>
      <sheetName val="Mostovych"/>
      <sheetName val="Clark2"/>
      <sheetName val="Kirby"/>
      <sheetName val="Elliot(team member)"/>
      <sheetName val="Schueler"/>
      <sheetName val="Theofanous"/>
      <sheetName val="Borgelin"/>
      <sheetName val="Johnston"/>
      <sheetName val="Rosier"/>
      <sheetName val="Christopher"/>
      <sheetName val="Lin2"/>
      <sheetName val="Hayes2"/>
      <sheetName val="Kadous"/>
      <sheetName val="Hackett"/>
      <sheetName val="Healey"/>
      <sheetName val="Clark3"/>
      <sheetName val="Sharma"/>
      <sheetName val="Loffredo"/>
      <sheetName val="Shirel"/>
      <sheetName val="Saroyan"/>
      <sheetName val="Hughes(for Janet)"/>
      <sheetName val="Ashley"/>
      <sheetName val="Mikalson2"/>
      <sheetName val="Sehgal"/>
      <sheetName val="Huang3"/>
      <sheetName val="Owens2"/>
      <sheetName val="Fann"/>
      <sheetName val="Twumwaa2"/>
      <sheetName val="Karuturi"/>
      <sheetName val="Melder"/>
      <sheetName val="Phillips"/>
      <sheetName val="Middleton"/>
      <sheetName val="Parker"/>
      <sheetName val="Harb"/>
      <sheetName val="Furman"/>
      <sheetName val="Eastman"/>
      <sheetName val="Kearse"/>
      <sheetName val="Genaro"/>
      <sheetName val="Alleyne"/>
      <sheetName val="Rowe"/>
      <sheetName val="Heady"/>
      <sheetName val="Lanaghen"/>
      <sheetName val="Medina"/>
      <sheetName val="Brown3"/>
      <sheetName val="Hunter2"/>
      <sheetName val="Jones3"/>
      <sheetName val="McDonald2"/>
      <sheetName val="Berry"/>
      <sheetName val="Presser"/>
      <sheetName val="Loffredo2"/>
      <sheetName val="Sathiamoorthy"/>
      <sheetName val="Mengistu"/>
      <sheetName val="Louis"/>
      <sheetName val="Beres2"/>
      <sheetName val="Clark(2)"/>
      <sheetName val="Dicks2"/>
      <sheetName val="Mikalson3"/>
      <sheetName val="Garcia"/>
      <sheetName val="Zhou2"/>
      <sheetName val="Cox"/>
      <sheetName val="Dove(not mine)"/>
      <sheetName val="Bryll"/>
      <sheetName val="Andrews"/>
      <sheetName val="Folley"/>
      <sheetName val="Paprocki"/>
      <sheetName val="Joseph"/>
      <sheetName val="Bhaskaran(for team)"/>
      <sheetName val="Belcher"/>
      <sheetName val="Villagra"/>
      <sheetName val="Li2"/>
      <sheetName val="Caldwell"/>
      <sheetName val="Jackson2"/>
      <sheetName val="Buss"/>
      <sheetName val="Stoddard(team mate)"/>
      <sheetName val="Liu"/>
      <sheetName val="Babin"/>
      <sheetName val="Kelley"/>
      <sheetName val="Berman"/>
      <sheetName val="Pisitchaiyakul"/>
      <sheetName val="Malvo"/>
      <sheetName val="Topete"/>
      <sheetName val="Bowmer"/>
      <sheetName val="Stevens"/>
      <sheetName val="Champagne"/>
      <sheetName val="Berkowitz"/>
      <sheetName val="Rothrock"/>
      <sheetName val="Plutyk"/>
      <sheetName val="Santos"/>
      <sheetName val="Liu2"/>
      <sheetName val="Love"/>
      <sheetName val="Lane"/>
      <sheetName val="Shear"/>
      <sheetName val="Smith6"/>
      <sheetName val="Grandison"/>
      <sheetName val="Pashia"/>
      <sheetName val="Kasper"/>
      <sheetName val="Chung(reassign)"/>
      <sheetName val="Hegedus"/>
      <sheetName val="Raphael"/>
      <sheetName val="Love(mentee)"/>
      <sheetName val="Ahlgren"/>
      <sheetName val="Tan(reassigned)"/>
      <sheetName val="Kay"/>
      <sheetName val="Guy(teammember)"/>
      <sheetName val="Osborne"/>
      <sheetName val="Covington"/>
      <sheetName val="Munoz"/>
      <sheetName val="Joshi"/>
      <sheetName val="Collazo(mentee)"/>
      <sheetName val="Hassan"/>
      <sheetName val="Nieves"/>
      <sheetName val="Mackenzie"/>
      <sheetName val="CONV Master Sheet  (4)"/>
      <sheetName val="Marin"/>
      <sheetName val="Jenkins"/>
      <sheetName val="Bogusewski"/>
      <sheetName val="Barnhouse"/>
      <sheetName val="Conser"/>
      <sheetName val="Rosebrock"/>
      <sheetName val="Du"/>
      <sheetName val="Patananan"/>
      <sheetName val="Hauser"/>
      <sheetName val="Cochran"/>
      <sheetName val="Theusch"/>
      <sheetName val="Vieng"/>
      <sheetName val="Swain"/>
      <sheetName val="Anderson2"/>
      <sheetName val="Walke"/>
      <sheetName val="Perino"/>
      <sheetName val="Ritter"/>
      <sheetName val="Sheffield(somebody else)"/>
      <sheetName val="Menchaca"/>
      <sheetName val="Gutierrez2"/>
      <sheetName val="Ward"/>
      <sheetName val="Ding"/>
      <sheetName val="Chen2"/>
      <sheetName val="Neubert"/>
      <sheetName val="Leung"/>
      <sheetName val="Gonzalez2"/>
      <sheetName val="Martell"/>
      <sheetName val="Alves"/>
      <sheetName val="Goldfarb"/>
      <sheetName val="Saintval"/>
      <sheetName val="Payne"/>
      <sheetName val="Taufique"/>
      <sheetName val="Horr"/>
      <sheetName val="Peksheva"/>
      <sheetName val="Johnson5"/>
      <sheetName val="Malo"/>
      <sheetName val="Franklin"/>
      <sheetName val="Peterson(Mentee)"/>
      <sheetName val="Montanaro"/>
      <sheetName val="Pope"/>
      <sheetName val="Encompass Worksheet Working (ve"/>
    </sheetNames>
    <definedNames>
      <definedName name="Sheet6.DuplicateSheetMultipleTime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file:///E:\AppData\Roaming\Microsoft\AppData\Roaming\Microsoft\AppData\Roaming\Microsoft\AppData\Roaming\Microsoft\AppData\Roaming\Microsoft\AppData\Roaming\Microsoft\AppData\Roaming\Microsoft\Excel\FHA%20Training%20Documents\Mortgage%20Ins%20Chart.pdf" TargetMode="External"/><Relationship Id="rId13" Type="http://schemas.openxmlformats.org/officeDocument/2006/relationships/hyperlink" Target="file:///E:\AppData\Roaming\Microsoft\AppData\Roaming\Microsoft\AppData\Roaming\Microsoft\AppData\Roaming\Microsoft\AppData\Roaming\Microsoft\AppData\Roaming\Microsoft\Excel\FHA%20Training%20Documents\State%20Disclosure%20Guide%208-19-2020.xlsx" TargetMode="External"/><Relationship Id="rId18" Type="http://schemas.openxmlformats.org/officeDocument/2006/relationships/comments" Target="../comments1.xml"/><Relationship Id="rId3" Type="http://schemas.openxmlformats.org/officeDocument/2006/relationships/hyperlink" Target="file:///E:\AppData\Roaming\Microsoft\AppData\Roaming\Microsoft\AppData\Roaming\Microsoft\AppData\Roaming\Microsoft\AppData\Roaming\Microsoft\AppData\Roaming\Microsoft\AppData\Roaming\Microsoft\Excel\FHA%20Training%20Documents\4001%20Modules\4000.1%2010-24-19.pdf" TargetMode="External"/><Relationship Id="rId7" Type="http://schemas.openxmlformats.org/officeDocument/2006/relationships/hyperlink" Target="file:///E:\AppData\Roaming\Microsoft\AppData\Roaming\Microsoft\AppData\Roaming\Microsoft\AppData\Roaming\Microsoft\AppData\Roaming\Microsoft\AppData\Roaming\Microsoft\AppData\Roaming\Microsoft\Excel\FHA%20Training%20Documents\Appraisal%20Review\Appraisal%20Checklist.pdf" TargetMode="External"/><Relationship Id="rId12" Type="http://schemas.openxmlformats.org/officeDocument/2006/relationships/hyperlink" Target="file://E:\..\AppData\Roaming\Microsoft\AppData\Roaming\Microsoft\AppData\Roaming\Microsoft\AppData\Roaming\Microsoft\AppData\Roaming\Microsoft\AppData\Roaming\Microsoft\AppData\Roaming\Microsoft\Excel\FHA%20Training%20Documents\General%20Lakewood%20Notes\TI%20Notes\Broken%20down%20Tracking.xlsx" TargetMode="External"/><Relationship Id="rId17" Type="http://schemas.openxmlformats.org/officeDocument/2006/relationships/ctrlProp" Target="../ctrlProps/ctrlProp1.xml"/><Relationship Id="rId2" Type="http://schemas.openxmlformats.org/officeDocument/2006/relationships/hyperlink" Target="file:///E:\AppData\Roaming\Microsoft\AppData\Roaming\Microsoft\AppData\Roaming\Microsoft\AppData\Roaming\Microsoft\AppData\Roaming\Microsoft\AppData\Roaming\Microsoft\AppData\Roaming\Microsoft\Excel\FHA%20Training%20Documents\Ratios%20Chart.pdf" TargetMode="External"/><Relationship Id="rId16" Type="http://schemas.openxmlformats.org/officeDocument/2006/relationships/vmlDrawing" Target="../drawings/vmlDrawing1.vml"/><Relationship Id="rId1" Type="http://schemas.openxmlformats.org/officeDocument/2006/relationships/hyperlink" Target="file://E:\..\AppData\Roaming\Microsoft\AppData\Roaming\Microsoft\AppData\Roaming\Microsoft\AppData\Roaming\Microsoft\AppData\Roaming\Microsoft\AppData\Roaming\Microsoft\AppData\Roaming\Microsoft\Excel\FHA%20Training%20Documents\Initial%20Review%20Checklists\FHA%20Full%20Doc%20Checklist(updated)%20-%20Wholesale%209-25-2020.doc" TargetMode="External"/><Relationship Id="rId6" Type="http://schemas.openxmlformats.org/officeDocument/2006/relationships/hyperlink" Target="file://E:\..\AppData\Roaming\Microsoft\AppData\Roaming\Microsoft\AppData\Roaming\Microsoft\AppData\Roaming\Microsoft\AppData\Roaming\Microsoft\AppData\Roaming\Microsoft\AppData\Roaming\Microsoft\Excel\FHA%20Training%20Documents\4001%20Modules\FHA%20Direct%20Endorsement_Module%20Four(Appraisal%20Review).docx" TargetMode="External"/><Relationship Id="rId11" Type="http://schemas.openxmlformats.org/officeDocument/2006/relationships/hyperlink" Target="file://E:\..\AppData\Roaming\Microsoft\AppData\Roaming\Microsoft\AppData\Roaming\Microsoft\AppData\Roaming\Microsoft\AppData\Roaming\Microsoft\AppData\Roaming\Microsoft\AppData\Roaming\Microsoft\Excel\FHA%20Training%20Documents\Initial%20Review%20Checklists\Streamline%20Review\Streamline%20Policy%20Overview%20from%20Allregs.pdf" TargetMode="External"/><Relationship Id="rId5" Type="http://schemas.openxmlformats.org/officeDocument/2006/relationships/hyperlink" Target="file://E:\..\AppData\Roaming\Microsoft\AppData\Roaming\Microsoft\AppData\Roaming\Microsoft\AppData\Roaming\Microsoft\AppData\Roaming\Microsoft\AppData\Roaming\Microsoft\AppData\Roaming\Microsoft\Excel\FHA%20Training%20Documents\4001%20Modules\FHA%20Direct%20Endorsement_Module%20Three(Manual%20Underwrite%20Credit%20Report%20Policy).docx" TargetMode="External"/><Relationship Id="rId15" Type="http://schemas.openxmlformats.org/officeDocument/2006/relationships/drawing" Target="../drawings/drawing1.xml"/><Relationship Id="rId10" Type="http://schemas.openxmlformats.org/officeDocument/2006/relationships/hyperlink" Target="file:///E:\AppData\Roaming\Microsoft\AppData\Roaming\Microsoft\AppData\Roaming\Microsoft\AppData\Roaming\Microsoft\AppData\Roaming\Microsoft\AppData\Roaming\Microsoft\AppData\Roaming\Microsoft\Excel\FHA%20Training%20Documents\Spousal%20Signature%20Requirements.pdf" TargetMode="External"/><Relationship Id="rId4" Type="http://schemas.openxmlformats.org/officeDocument/2006/relationships/hyperlink" Target="file://E:\..\AppData\Roaming\Microsoft\AppData\Roaming\Microsoft\AppData\Roaming\Microsoft\AppData\Roaming\Microsoft\AppData\Roaming\Microsoft\AppData\Roaming\Microsoft\AppData\Roaming\Microsoft\Excel\FHA%20Training%20Documents\4001%20Modules\FHA%20Direct%20Endorsement_Module%20Two%20(TOTAL%20Underwrite).docx" TargetMode="External"/><Relationship Id="rId9" Type="http://schemas.openxmlformats.org/officeDocument/2006/relationships/hyperlink" Target="file://E:\..\AppData\Roaming\Microsoft\AppData\Roaming\Microsoft\AppData\Roaming\Microsoft\AppData\Roaming\Microsoft\AppData\Roaming\Microsoft\AppData\Roaming\Microsoft\AppData\Roaming\Microsoft\Excel\FHA%20Training%20Documents\General%20Lakewood%20Notes\TI%20Notes\Calculating%20Max%20Cash%20to%20Close%20-%20FHA.docx"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file:///E:\AppData\Roaming\Microsoft\Excel\FHA%20Training%20Documents\Mortgage%20Ins%20Chart.pdf" TargetMode="External"/><Relationship Id="rId13" Type="http://schemas.openxmlformats.org/officeDocument/2006/relationships/printerSettings" Target="../printerSettings/printerSettings2.bin"/><Relationship Id="rId3" Type="http://schemas.openxmlformats.org/officeDocument/2006/relationships/hyperlink" Target="file:///E:\AppData\Roaming\Microsoft\Excel\FHA%20Training%20Documents\4001%20Modules\4000.1%2010-24-19.pdf" TargetMode="External"/><Relationship Id="rId7" Type="http://schemas.openxmlformats.org/officeDocument/2006/relationships/hyperlink" Target="file:///E:\AppData\Roaming\Microsoft\Excel\FHA%20Training%20Documents\Appraisal%20Review\Appraisal%20Checklist.pdf" TargetMode="External"/><Relationship Id="rId12" Type="http://schemas.openxmlformats.org/officeDocument/2006/relationships/hyperlink" Target="file:///E:\AppData\Roaming\Microsoft\Excel\FHA%20Training%20Documents\General%20Lakewood%20Notes\TI%20Notes\Broken%20down%20Tracking.xlsx" TargetMode="External"/><Relationship Id="rId17" Type="http://schemas.openxmlformats.org/officeDocument/2006/relationships/comments" Target="../comments2.xml"/><Relationship Id="rId2" Type="http://schemas.openxmlformats.org/officeDocument/2006/relationships/hyperlink" Target="file:///E:\AppData\Roaming\Microsoft\Excel\FHA%20Training%20Documents\Ratios%20Chart.pdf" TargetMode="External"/><Relationship Id="rId16" Type="http://schemas.openxmlformats.org/officeDocument/2006/relationships/ctrlProp" Target="../ctrlProps/ctrlProp2.xml"/><Relationship Id="rId1" Type="http://schemas.openxmlformats.org/officeDocument/2006/relationships/hyperlink" Target="file:///E:\AppData\Roaming\Microsoft\Excel\FHA%20Training%20Documents\Initial%20Review%20Checklists\FHA%20Full%20Doc%20Checklist(updated)%20-%20Wholesale%209-25-2020.doc" TargetMode="External"/><Relationship Id="rId6" Type="http://schemas.openxmlformats.org/officeDocument/2006/relationships/hyperlink" Target="file:///E:\AppData\Roaming\Microsoft\Excel\FHA%20Training%20Documents\4001%20Modules\FHA%20Direct%20Endorsement_Module%20Four(Appraisal%20Review).docx" TargetMode="External"/><Relationship Id="rId11" Type="http://schemas.openxmlformats.org/officeDocument/2006/relationships/hyperlink" Target="file:///E:\AppData\Roaming\Microsoft\Excel\FHA%20Training%20Documents\Initial%20Review%20Checklists\Streamline%20Review\Streamline%20Policy%20Overview%20from%20Allregs.pdf" TargetMode="External"/><Relationship Id="rId5" Type="http://schemas.openxmlformats.org/officeDocument/2006/relationships/hyperlink" Target="file:///E:\AppData\Roaming\Microsoft\Excel\FHA%20Training%20Documents\4001%20Modules\FHA%20Direct%20Endorsement_Module%20Three(Manual%20Underwrite%20Credit%20Report%20Policy).docx" TargetMode="External"/><Relationship Id="rId15" Type="http://schemas.openxmlformats.org/officeDocument/2006/relationships/vmlDrawing" Target="../drawings/vmlDrawing2.vml"/><Relationship Id="rId10" Type="http://schemas.openxmlformats.org/officeDocument/2006/relationships/hyperlink" Target="file:///E:\AppData\Roaming\Microsoft\Excel\FHA%20Training%20Documents\Spousal%20Signature%20Requirements.pdf" TargetMode="External"/><Relationship Id="rId4" Type="http://schemas.openxmlformats.org/officeDocument/2006/relationships/hyperlink" Target="file:///E:\AppData\Roaming\Microsoft\Excel\FHA%20Training%20Documents\4001%20Modules\FHA%20Direct%20Endorsement_Module%20Two%20(TOTAL%20Underwrite).docx" TargetMode="External"/><Relationship Id="rId9" Type="http://schemas.openxmlformats.org/officeDocument/2006/relationships/hyperlink" Target="file:///E:\AppData\Roaming\Microsoft\Excel\FHA%20Training%20Documents\General%20Lakewood%20Notes\TI%20Notes\Calculating%20Max%20Cash%20to%20Close%20-%20FHA.docx"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file:///E:\AppData\Roaming\Microsoft\Excel\FHA%20Training%20Documents\Mortgage%20Ins%20Chart.pdf" TargetMode="External"/><Relationship Id="rId13" Type="http://schemas.openxmlformats.org/officeDocument/2006/relationships/printerSettings" Target="../printerSettings/printerSettings3.bin"/><Relationship Id="rId3" Type="http://schemas.openxmlformats.org/officeDocument/2006/relationships/hyperlink" Target="file:///E:\AppData\Roaming\Microsoft\Excel\FHA%20Training%20Documents\4001%20Modules\4000.1%2010-24-19.pdf" TargetMode="External"/><Relationship Id="rId7" Type="http://schemas.openxmlformats.org/officeDocument/2006/relationships/hyperlink" Target="file:///E:\AppData\Roaming\Microsoft\Excel\FHA%20Training%20Documents\Appraisal%20Review\Appraisal%20Checklist.pdf" TargetMode="External"/><Relationship Id="rId12" Type="http://schemas.openxmlformats.org/officeDocument/2006/relationships/hyperlink" Target="file:///E:\AppData\Roaming\Microsoft\Excel\FHA%20Training%20Documents\General%20Lakewood%20Notes\TI%20Notes\Broken%20down%20Tracking.xlsx" TargetMode="External"/><Relationship Id="rId17" Type="http://schemas.openxmlformats.org/officeDocument/2006/relationships/comments" Target="../comments3.xml"/><Relationship Id="rId2" Type="http://schemas.openxmlformats.org/officeDocument/2006/relationships/hyperlink" Target="file:///E:\AppData\Roaming\Microsoft\Excel\FHA%20Training%20Documents\Ratios%20Chart.pdf" TargetMode="External"/><Relationship Id="rId16" Type="http://schemas.openxmlformats.org/officeDocument/2006/relationships/ctrlProp" Target="../ctrlProps/ctrlProp3.xml"/><Relationship Id="rId1" Type="http://schemas.openxmlformats.org/officeDocument/2006/relationships/hyperlink" Target="file:///E:\AppData\Roaming\Microsoft\Excel\FHA%20Training%20Documents\Initial%20Review%20Checklists\FHA%20Full%20Doc%20Checklist(updated)%20-%20Wholesale%209-25-2020.doc" TargetMode="External"/><Relationship Id="rId6" Type="http://schemas.openxmlformats.org/officeDocument/2006/relationships/hyperlink" Target="file:///E:\AppData\Roaming\Microsoft\Excel\FHA%20Training%20Documents\4001%20Modules\FHA%20Direct%20Endorsement_Module%20Four(Appraisal%20Review).docx" TargetMode="External"/><Relationship Id="rId11" Type="http://schemas.openxmlformats.org/officeDocument/2006/relationships/hyperlink" Target="file:///E:\AppData\Roaming\Microsoft\Excel\FHA%20Training%20Documents\Initial%20Review%20Checklists\Streamline%20Review\Streamline%20Policy%20Overview%20from%20Allregs.pdf" TargetMode="External"/><Relationship Id="rId5" Type="http://schemas.openxmlformats.org/officeDocument/2006/relationships/hyperlink" Target="file:///E:\AppData\Roaming\Microsoft\Excel\FHA%20Training%20Documents\4001%20Modules\FHA%20Direct%20Endorsement_Module%20Three(Manual%20Underwrite%20Credit%20Report%20Policy).docx" TargetMode="External"/><Relationship Id="rId15" Type="http://schemas.openxmlformats.org/officeDocument/2006/relationships/vmlDrawing" Target="../drawings/vmlDrawing3.vml"/><Relationship Id="rId10" Type="http://schemas.openxmlformats.org/officeDocument/2006/relationships/hyperlink" Target="file:///E:\AppData\Roaming\Microsoft\Excel\FHA%20Training%20Documents\Spousal%20Signature%20Requirements.pdf" TargetMode="External"/><Relationship Id="rId4" Type="http://schemas.openxmlformats.org/officeDocument/2006/relationships/hyperlink" Target="file:///E:\AppData\Roaming\Microsoft\Excel\FHA%20Training%20Documents\4001%20Modules\FHA%20Direct%20Endorsement_Module%20Two%20(TOTAL%20Underwrite).docx" TargetMode="External"/><Relationship Id="rId9" Type="http://schemas.openxmlformats.org/officeDocument/2006/relationships/hyperlink" Target="file:///E:\AppData\Roaming\Microsoft\Excel\FHA%20Training%20Documents\General%20Lakewood%20Notes\TI%20Notes\Calculating%20Max%20Cash%20to%20Close%20-%20FHA.docx" TargetMode="External"/><Relationship Id="rId1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F0"/>
  </sheetPr>
  <dimension ref="A1:P100"/>
  <sheetViews>
    <sheetView tabSelected="1" zoomScale="115" zoomScaleNormal="115" workbookViewId="0">
      <selection activeCell="B16" sqref="B16"/>
    </sheetView>
  </sheetViews>
  <sheetFormatPr defaultRowHeight="12.75" x14ac:dyDescent="0.2"/>
  <cols>
    <col min="1" max="1" width="40.140625" customWidth="1"/>
    <col min="2" max="2" width="48.7109375" customWidth="1"/>
    <col min="3" max="3" width="44.85546875" customWidth="1"/>
    <col min="4" max="4" width="38.28515625" customWidth="1"/>
    <col min="5" max="5" width="20.85546875" customWidth="1"/>
    <col min="6" max="6" width="33.140625" customWidth="1"/>
    <col min="7" max="7" width="33.7109375" customWidth="1"/>
    <col min="8" max="8" width="45.5703125" customWidth="1"/>
    <col min="9" max="9" width="36" bestFit="1" customWidth="1"/>
    <col min="10" max="10" width="27.85546875" bestFit="1" customWidth="1"/>
    <col min="11" max="11" width="27.28515625" customWidth="1"/>
    <col min="12" max="12" width="22.140625" bestFit="1" customWidth="1"/>
    <col min="13" max="13" width="27.85546875" bestFit="1" customWidth="1"/>
    <col min="16" max="16" width="27.85546875" bestFit="1" customWidth="1"/>
  </cols>
  <sheetData>
    <row r="1" spans="1:16" s="5" customFormat="1" ht="15.75" thickBot="1" x14ac:dyDescent="0.3">
      <c r="A1"/>
      <c r="B1"/>
      <c r="C1" s="126" t="s">
        <v>96</v>
      </c>
      <c r="D1" s="127"/>
      <c r="E1" s="159"/>
      <c r="F1" s="159"/>
      <c r="G1" s="175" t="s">
        <v>2</v>
      </c>
      <c r="H1" s="176">
        <f ca="1">COUNTA(INDEX(CountSheets,0))</f>
        <v>3</v>
      </c>
      <c r="I1" s="31"/>
    </row>
    <row r="2" spans="1:16" s="5" customFormat="1" ht="15.75" thickBot="1" x14ac:dyDescent="0.3">
      <c r="A2" s="126" t="s">
        <v>5</v>
      </c>
      <c r="B2" s="127"/>
      <c r="C2" s="126" t="s">
        <v>312</v>
      </c>
      <c r="D2" s="127"/>
      <c r="E2" s="159"/>
      <c r="F2" s="159"/>
      <c r="G2" s="94" t="s">
        <v>326</v>
      </c>
      <c r="H2"/>
      <c r="I2" s="31"/>
    </row>
    <row r="3" spans="1:16" s="5" customFormat="1" ht="15.75" thickBot="1" x14ac:dyDescent="0.25">
      <c r="A3" s="126" t="s">
        <v>2</v>
      </c>
      <c r="B3" s="130"/>
      <c r="C3" s="126" t="s">
        <v>313</v>
      </c>
      <c r="D3" s="131"/>
      <c r="E3" s="92"/>
      <c r="F3" s="92"/>
      <c r="G3"/>
      <c r="H3"/>
      <c r="I3"/>
      <c r="L3" s="58"/>
      <c r="M3" s="7"/>
      <c r="N3" s="7"/>
      <c r="O3" s="7"/>
      <c r="P3" s="7"/>
    </row>
    <row r="4" spans="1:16" ht="15.75" thickBot="1" x14ac:dyDescent="0.25">
      <c r="B4" s="75" t="s">
        <v>305</v>
      </c>
      <c r="C4" s="75" t="s">
        <v>306</v>
      </c>
      <c r="D4" s="75" t="s">
        <v>307</v>
      </c>
      <c r="E4" s="88" t="s">
        <v>484</v>
      </c>
      <c r="F4" s="87" t="s">
        <v>485</v>
      </c>
      <c r="G4" s="89" t="s">
        <v>309</v>
      </c>
      <c r="H4" s="89" t="s">
        <v>486</v>
      </c>
      <c r="I4" s="1"/>
      <c r="L4" s="16"/>
      <c r="M4" s="2"/>
      <c r="N4" s="2"/>
      <c r="O4" s="2"/>
      <c r="P4" s="2"/>
    </row>
    <row r="5" spans="1:16" ht="15.75" thickBot="1" x14ac:dyDescent="0.3">
      <c r="A5" s="76" t="s">
        <v>310</v>
      </c>
      <c r="B5" s="79"/>
      <c r="C5" s="80"/>
      <c r="D5" s="79"/>
      <c r="E5" s="81"/>
      <c r="F5" s="82"/>
      <c r="G5" s="83"/>
      <c r="H5" s="81"/>
      <c r="I5" s="174"/>
      <c r="L5" s="16"/>
      <c r="M5" s="2"/>
      <c r="N5" s="2"/>
      <c r="O5" s="2"/>
      <c r="P5" s="2"/>
    </row>
    <row r="6" spans="1:16" ht="15.75" thickBot="1" x14ac:dyDescent="0.3">
      <c r="A6" s="77" t="s">
        <v>311</v>
      </c>
      <c r="B6" s="84" t="str">
        <f>IF(B5&lt;&gt;"", (B5+120),"")</f>
        <v/>
      </c>
      <c r="C6" s="85" t="str">
        <f>IF(C5&lt;&gt;"", (C5+120),"")</f>
        <v/>
      </c>
      <c r="D6" s="84" t="str">
        <f>IF(D5&lt;&gt;"", (D5+90),"")</f>
        <v/>
      </c>
      <c r="E6" s="85" t="str">
        <f>IF(E5&lt;&gt;"", (E5+120),"")</f>
        <v/>
      </c>
      <c r="F6" s="86" t="str">
        <f>IF(F5&lt;&gt;"", (F5+120),"")</f>
        <v/>
      </c>
      <c r="G6" s="85" t="str">
        <f>IF(G5&lt;&gt;"", (G5+180),"")</f>
        <v/>
      </c>
      <c r="H6" s="84" t="str">
        <f>IF(H5&lt;&gt;"", (H5+90),"")</f>
        <v/>
      </c>
      <c r="I6" s="1"/>
      <c r="L6" s="16"/>
      <c r="M6" s="2"/>
      <c r="N6" s="2"/>
      <c r="O6" s="2"/>
      <c r="P6" s="2"/>
    </row>
    <row r="7" spans="1:16" ht="15.75" thickBot="1" x14ac:dyDescent="0.3">
      <c r="A7" s="44" t="s">
        <v>197</v>
      </c>
      <c r="B7" s="42" t="s">
        <v>198</v>
      </c>
      <c r="C7" s="61" t="s">
        <v>225</v>
      </c>
      <c r="D7" s="189" t="s">
        <v>4</v>
      </c>
      <c r="E7" s="190"/>
      <c r="F7" s="42" t="s">
        <v>24</v>
      </c>
      <c r="G7" s="42" t="s">
        <v>189</v>
      </c>
      <c r="H7" s="44" t="s">
        <v>237</v>
      </c>
      <c r="I7" s="65" t="s">
        <v>125</v>
      </c>
      <c r="L7" s="16"/>
      <c r="M7" s="2"/>
      <c r="N7" s="2"/>
      <c r="O7" s="2"/>
      <c r="P7" s="2"/>
    </row>
    <row r="8" spans="1:16" ht="15.75" thickBot="1" x14ac:dyDescent="0.3">
      <c r="A8" s="60" t="s">
        <v>487</v>
      </c>
      <c r="B8" t="s">
        <v>213</v>
      </c>
      <c r="C8" s="60" t="s">
        <v>239</v>
      </c>
      <c r="D8" t="s">
        <v>488</v>
      </c>
      <c r="E8" t="s">
        <v>8</v>
      </c>
      <c r="F8" t="s">
        <v>25</v>
      </c>
      <c r="G8" s="30" t="s">
        <v>72</v>
      </c>
      <c r="H8" s="39" t="s">
        <v>405</v>
      </c>
      <c r="I8" s="57"/>
      <c r="L8" s="16"/>
      <c r="M8" s="2"/>
      <c r="N8" s="2"/>
      <c r="O8" s="2"/>
      <c r="P8" s="2"/>
    </row>
    <row r="9" spans="1:16" ht="15" x14ac:dyDescent="0.25">
      <c r="A9" t="s">
        <v>489</v>
      </c>
      <c r="B9" t="s">
        <v>212</v>
      </c>
      <c r="C9" t="s">
        <v>203</v>
      </c>
      <c r="D9" t="s">
        <v>178</v>
      </c>
      <c r="E9" t="s">
        <v>7</v>
      </c>
      <c r="F9" t="s">
        <v>26</v>
      </c>
      <c r="G9" t="s">
        <v>185</v>
      </c>
      <c r="H9" s="39" t="s">
        <v>406</v>
      </c>
      <c r="I9" s="31" t="s">
        <v>126</v>
      </c>
      <c r="L9" s="16"/>
      <c r="M9" s="2"/>
      <c r="N9" s="2"/>
      <c r="O9" s="2"/>
      <c r="P9" s="2"/>
    </row>
    <row r="10" spans="1:16" ht="15.75" thickBot="1" x14ac:dyDescent="0.3">
      <c r="A10" t="s">
        <v>214</v>
      </c>
      <c r="B10" s="3" t="s">
        <v>218</v>
      </c>
      <c r="C10" t="s">
        <v>262</v>
      </c>
      <c r="D10" t="s">
        <v>9</v>
      </c>
      <c r="E10" t="s">
        <v>6</v>
      </c>
      <c r="F10" t="s">
        <v>321</v>
      </c>
      <c r="G10" t="s">
        <v>264</v>
      </c>
      <c r="H10" s="39" t="s">
        <v>407</v>
      </c>
      <c r="I10" s="48" t="s">
        <v>127</v>
      </c>
      <c r="L10" s="16"/>
      <c r="M10" s="2"/>
      <c r="N10" s="2"/>
      <c r="O10" s="2"/>
      <c r="P10" s="2"/>
    </row>
    <row r="11" spans="1:16" ht="15" x14ac:dyDescent="0.25">
      <c r="A11" t="s">
        <v>194</v>
      </c>
      <c r="B11" t="s">
        <v>202</v>
      </c>
      <c r="C11" t="s">
        <v>199</v>
      </c>
      <c r="D11" t="s">
        <v>21</v>
      </c>
      <c r="E11" t="s">
        <v>15</v>
      </c>
      <c r="F11" t="s">
        <v>27</v>
      </c>
      <c r="G11" t="s">
        <v>284</v>
      </c>
      <c r="H11" s="39" t="s">
        <v>408</v>
      </c>
      <c r="I11" s="31" t="s">
        <v>128</v>
      </c>
      <c r="L11" s="16"/>
      <c r="M11" s="2"/>
      <c r="N11" s="2"/>
      <c r="O11" s="2"/>
      <c r="P11" s="2"/>
    </row>
    <row r="12" spans="1:16" ht="15" x14ac:dyDescent="0.25">
      <c r="A12" t="s">
        <v>207</v>
      </c>
      <c r="B12" t="s">
        <v>261</v>
      </c>
      <c r="C12" t="s">
        <v>200</v>
      </c>
      <c r="D12" t="s">
        <v>274</v>
      </c>
      <c r="E12" t="s">
        <v>16</v>
      </c>
      <c r="F12" t="s">
        <v>28</v>
      </c>
      <c r="G12" t="s">
        <v>277</v>
      </c>
      <c r="H12" s="39" t="s">
        <v>409</v>
      </c>
      <c r="I12" s="48" t="s">
        <v>130</v>
      </c>
      <c r="L12" s="16"/>
      <c r="M12" s="2"/>
      <c r="N12" s="2"/>
      <c r="O12" s="2"/>
      <c r="P12" s="2"/>
    </row>
    <row r="13" spans="1:16" ht="15.75" thickBot="1" x14ac:dyDescent="0.3">
      <c r="A13" t="s">
        <v>244</v>
      </c>
      <c r="B13" t="s">
        <v>222</v>
      </c>
      <c r="C13" t="s">
        <v>201</v>
      </c>
      <c r="D13" s="5" t="s">
        <v>13</v>
      </c>
      <c r="E13" t="s">
        <v>17</v>
      </c>
      <c r="F13" t="s">
        <v>30</v>
      </c>
      <c r="G13" t="s">
        <v>322</v>
      </c>
      <c r="H13" s="39" t="s">
        <v>410</v>
      </c>
      <c r="I13" s="31" t="s">
        <v>131</v>
      </c>
      <c r="L13" s="55" t="s">
        <v>47</v>
      </c>
      <c r="M13" s="2"/>
      <c r="N13" s="2"/>
      <c r="O13" s="2"/>
    </row>
    <row r="14" spans="1:16" ht="15" x14ac:dyDescent="0.25">
      <c r="A14" t="s">
        <v>245</v>
      </c>
      <c r="B14" t="s">
        <v>196</v>
      </c>
      <c r="C14" t="s">
        <v>300</v>
      </c>
      <c r="D14" s="120" t="s">
        <v>38</v>
      </c>
      <c r="E14" t="s">
        <v>22</v>
      </c>
      <c r="F14" t="s">
        <v>190</v>
      </c>
      <c r="G14" t="s">
        <v>186</v>
      </c>
      <c r="H14" s="39" t="s">
        <v>490</v>
      </c>
      <c r="I14" s="48" t="s">
        <v>48</v>
      </c>
      <c r="L14" s="5"/>
      <c r="M14" s="2"/>
      <c r="N14" s="2"/>
      <c r="O14" s="2"/>
    </row>
    <row r="15" spans="1:16" ht="15" x14ac:dyDescent="0.25">
      <c r="A15" t="s">
        <v>122</v>
      </c>
      <c r="B15" t="s">
        <v>242</v>
      </c>
      <c r="C15" t="s">
        <v>204</v>
      </c>
      <c r="D15" t="s">
        <v>56</v>
      </c>
      <c r="E15" t="s">
        <v>20</v>
      </c>
      <c r="F15" s="120" t="s">
        <v>32</v>
      </c>
      <c r="G15" t="s">
        <v>187</v>
      </c>
      <c r="H15" s="39" t="s">
        <v>411</v>
      </c>
      <c r="I15" s="48" t="s">
        <v>132</v>
      </c>
      <c r="J15" s="48"/>
      <c r="L15" s="7"/>
      <c r="M15" s="2"/>
      <c r="N15" s="2"/>
      <c r="O15" s="2"/>
    </row>
    <row r="16" spans="1:16" ht="15.75" thickBot="1" x14ac:dyDescent="0.3">
      <c r="A16" t="s">
        <v>314</v>
      </c>
      <c r="B16" s="5" t="s">
        <v>219</v>
      </c>
      <c r="C16" s="3" t="s">
        <v>293</v>
      </c>
      <c r="D16" t="s">
        <v>57</v>
      </c>
      <c r="E16" t="s">
        <v>35</v>
      </c>
      <c r="F16" t="s">
        <v>33</v>
      </c>
      <c r="G16" t="s">
        <v>188</v>
      </c>
      <c r="H16" s="39" t="s">
        <v>491</v>
      </c>
      <c r="I16" s="48" t="s">
        <v>134</v>
      </c>
      <c r="L16" s="9" t="s">
        <v>80</v>
      </c>
      <c r="M16" s="2"/>
      <c r="N16" s="2"/>
      <c r="O16" s="2"/>
    </row>
    <row r="17" spans="1:15" ht="15.75" thickBot="1" x14ac:dyDescent="0.3">
      <c r="A17" s="3" t="s">
        <v>208</v>
      </c>
      <c r="B17" s="3" t="s">
        <v>220</v>
      </c>
      <c r="C17" t="s">
        <v>231</v>
      </c>
      <c r="D17" t="s">
        <v>60</v>
      </c>
      <c r="E17" t="s">
        <v>180</v>
      </c>
      <c r="F17" t="s">
        <v>147</v>
      </c>
      <c r="G17" t="s">
        <v>323</v>
      </c>
      <c r="H17" s="39" t="s">
        <v>412</v>
      </c>
      <c r="I17" s="48" t="s">
        <v>141</v>
      </c>
      <c r="J17" s="54"/>
      <c r="L17" s="9" t="s">
        <v>81</v>
      </c>
      <c r="M17" s="2"/>
      <c r="N17" s="2"/>
      <c r="O17" s="2"/>
    </row>
    <row r="18" spans="1:15" ht="15.75" thickBot="1" x14ac:dyDescent="0.3">
      <c r="A18" t="s">
        <v>184</v>
      </c>
      <c r="B18" s="60" t="s">
        <v>221</v>
      </c>
      <c r="C18" t="s">
        <v>114</v>
      </c>
      <c r="D18" t="s">
        <v>14</v>
      </c>
      <c r="E18" t="s">
        <v>183</v>
      </c>
      <c r="F18" t="s">
        <v>77</v>
      </c>
      <c r="G18" t="s">
        <v>54</v>
      </c>
      <c r="H18" s="39"/>
      <c r="I18" s="48" t="s">
        <v>149</v>
      </c>
      <c r="J18" s="49"/>
      <c r="L18" s="9" t="s">
        <v>82</v>
      </c>
      <c r="M18" s="2"/>
      <c r="N18" s="2"/>
      <c r="O18" s="2"/>
    </row>
    <row r="19" spans="1:15" ht="15.75" thickBot="1" x14ac:dyDescent="0.3">
      <c r="A19" t="s">
        <v>249</v>
      </c>
      <c r="B19" t="s">
        <v>246</v>
      </c>
      <c r="C19" t="s">
        <v>263</v>
      </c>
      <c r="D19" t="s">
        <v>129</v>
      </c>
      <c r="E19" t="s">
        <v>337</v>
      </c>
      <c r="F19" t="s">
        <v>278</v>
      </c>
      <c r="G19" t="s">
        <v>155</v>
      </c>
      <c r="H19" s="39"/>
      <c r="I19" s="48" t="s">
        <v>174</v>
      </c>
      <c r="L19" s="7" t="s">
        <v>3</v>
      </c>
      <c r="M19" s="2"/>
      <c r="N19" s="2"/>
      <c r="O19" s="2"/>
    </row>
    <row r="20" spans="1:15" ht="15.75" thickBot="1" x14ac:dyDescent="0.3">
      <c r="A20" t="s">
        <v>23</v>
      </c>
      <c r="B20" s="60" t="s">
        <v>195</v>
      </c>
      <c r="C20" t="s">
        <v>234</v>
      </c>
      <c r="D20" t="s">
        <v>182</v>
      </c>
      <c r="F20" t="s">
        <v>148</v>
      </c>
      <c r="G20" s="120">
        <v>92561</v>
      </c>
      <c r="H20" s="39" t="s">
        <v>415</v>
      </c>
      <c r="I20" s="48" t="s">
        <v>181</v>
      </c>
      <c r="L20" s="9"/>
      <c r="M20" s="2"/>
      <c r="N20" s="2"/>
      <c r="O20" s="2"/>
    </row>
    <row r="21" spans="1:15" ht="13.5" thickBot="1" x14ac:dyDescent="0.25">
      <c r="A21" s="3" t="s">
        <v>209</v>
      </c>
      <c r="B21" t="s">
        <v>223</v>
      </c>
      <c r="C21" t="s">
        <v>241</v>
      </c>
      <c r="D21" s="120" t="s">
        <v>55</v>
      </c>
      <c r="F21" t="s">
        <v>191</v>
      </c>
      <c r="G21" s="120" t="s">
        <v>73</v>
      </c>
      <c r="H21" s="39" t="s">
        <v>416</v>
      </c>
      <c r="K21" s="12"/>
      <c r="L21" s="9"/>
      <c r="M21" s="2"/>
      <c r="N21" s="2"/>
      <c r="O21" s="2"/>
    </row>
    <row r="22" spans="1:15" x14ac:dyDescent="0.2">
      <c r="A22" t="s">
        <v>215</v>
      </c>
      <c r="B22" t="s">
        <v>232</v>
      </c>
      <c r="C22" t="s">
        <v>251</v>
      </c>
      <c r="D22" t="s">
        <v>283</v>
      </c>
      <c r="E22" s="132" t="s">
        <v>235</v>
      </c>
      <c r="F22" t="s">
        <v>292</v>
      </c>
      <c r="G22" s="120" t="s">
        <v>74</v>
      </c>
      <c r="H22" s="29" t="s">
        <v>417</v>
      </c>
      <c r="K22" s="12"/>
      <c r="L22" s="9" t="s">
        <v>85</v>
      </c>
      <c r="M22" s="2"/>
      <c r="N22" s="2"/>
      <c r="O22" s="2"/>
    </row>
    <row r="23" spans="1:15" ht="13.5" thickBot="1" x14ac:dyDescent="0.25">
      <c r="A23" t="s">
        <v>193</v>
      </c>
      <c r="B23" t="s">
        <v>250</v>
      </c>
      <c r="C23" t="s">
        <v>253</v>
      </c>
      <c r="D23" s="17" t="s">
        <v>338</v>
      </c>
      <c r="E23" s="133" t="s">
        <v>236</v>
      </c>
      <c r="F23" t="s">
        <v>294</v>
      </c>
      <c r="G23" s="120">
        <v>92541</v>
      </c>
      <c r="H23" s="29" t="s">
        <v>418</v>
      </c>
      <c r="J23" s="12"/>
      <c r="K23" s="42" t="s">
        <v>110</v>
      </c>
      <c r="L23" s="9" t="s">
        <v>114</v>
      </c>
      <c r="M23" s="2"/>
      <c r="N23" s="2"/>
      <c r="O23" s="2"/>
    </row>
    <row r="24" spans="1:15" ht="13.5" thickBot="1" x14ac:dyDescent="0.25">
      <c r="A24" t="s">
        <v>87</v>
      </c>
      <c r="B24" s="60" t="s">
        <v>224</v>
      </c>
      <c r="C24" t="s">
        <v>303</v>
      </c>
      <c r="D24" t="s">
        <v>258</v>
      </c>
      <c r="E24" s="44" t="s">
        <v>62</v>
      </c>
      <c r="F24" t="s">
        <v>348</v>
      </c>
      <c r="G24" s="120">
        <v>92544</v>
      </c>
      <c r="H24" s="29" t="s">
        <v>435</v>
      </c>
      <c r="K24" s="5"/>
      <c r="M24" s="2"/>
      <c r="N24" s="2"/>
      <c r="O24" s="2"/>
    </row>
    <row r="25" spans="1:15" ht="13.5" thickBot="1" x14ac:dyDescent="0.25">
      <c r="A25" t="s">
        <v>216</v>
      </c>
      <c r="B25" t="s">
        <v>256</v>
      </c>
      <c r="C25" s="3" t="s">
        <v>252</v>
      </c>
      <c r="D25" t="s">
        <v>259</v>
      </c>
      <c r="E25" s="29" t="s">
        <v>58</v>
      </c>
      <c r="G25" s="120" t="s">
        <v>75</v>
      </c>
      <c r="H25" s="29" t="s">
        <v>468</v>
      </c>
      <c r="L25" s="9"/>
      <c r="M25" s="2"/>
      <c r="N25" s="2"/>
      <c r="O25" s="2"/>
    </row>
    <row r="26" spans="1:15" ht="15.75" thickBot="1" x14ac:dyDescent="0.25">
      <c r="A26" s="3" t="s">
        <v>217</v>
      </c>
      <c r="B26" t="s">
        <v>233</v>
      </c>
      <c r="C26" t="s">
        <v>257</v>
      </c>
      <c r="D26" t="s">
        <v>260</v>
      </c>
      <c r="E26" s="29" t="s">
        <v>273</v>
      </c>
      <c r="G26" s="120" t="s">
        <v>76</v>
      </c>
      <c r="H26" s="29" t="s">
        <v>469</v>
      </c>
      <c r="K26" s="5"/>
      <c r="L26" s="10"/>
      <c r="M26" s="2"/>
      <c r="N26" s="2"/>
      <c r="O26" s="2"/>
    </row>
    <row r="27" spans="1:15" ht="15.75" thickBot="1" x14ac:dyDescent="0.25">
      <c r="A27" t="s">
        <v>210</v>
      </c>
      <c r="B27" t="s">
        <v>228</v>
      </c>
      <c r="C27" t="s">
        <v>254</v>
      </c>
      <c r="D27" s="134" t="s">
        <v>266</v>
      </c>
      <c r="E27" s="29" t="s">
        <v>272</v>
      </c>
      <c r="G27" s="120" t="s">
        <v>327</v>
      </c>
      <c r="H27" s="44" t="s">
        <v>83</v>
      </c>
      <c r="K27" s="5"/>
      <c r="L27" s="10"/>
      <c r="M27" s="2"/>
      <c r="N27" s="2"/>
      <c r="O27" s="2"/>
    </row>
    <row r="28" spans="1:15" s="5" customFormat="1" ht="15.75" thickBot="1" x14ac:dyDescent="0.25">
      <c r="A28" t="s">
        <v>211</v>
      </c>
      <c r="B28" t="s">
        <v>267</v>
      </c>
      <c r="C28" t="s">
        <v>255</v>
      </c>
      <c r="D28" t="s">
        <v>289</v>
      </c>
      <c r="E28" s="40" t="s">
        <v>63</v>
      </c>
      <c r="F28" s="173" t="s">
        <v>69</v>
      </c>
      <c r="G28" s="45" t="s">
        <v>66</v>
      </c>
      <c r="H28" s="39" t="s">
        <v>29</v>
      </c>
      <c r="I28"/>
      <c r="L28" s="10"/>
      <c r="M28" s="37"/>
      <c r="N28" s="38"/>
      <c r="O28" s="38"/>
    </row>
    <row r="29" spans="1:15" s="5" customFormat="1" ht="15.75" thickBot="1" x14ac:dyDescent="0.25">
      <c r="A29"/>
      <c r="B29" t="s">
        <v>229</v>
      </c>
      <c r="C29" t="s">
        <v>70</v>
      </c>
      <c r="D29"/>
      <c r="E29" s="40" t="s">
        <v>49</v>
      </c>
      <c r="F29" s="40" t="s">
        <v>18</v>
      </c>
      <c r="G29" s="29" t="s">
        <v>67</v>
      </c>
      <c r="H29" s="39" t="s">
        <v>275</v>
      </c>
      <c r="I29"/>
      <c r="L29" s="10"/>
      <c r="M29" s="37"/>
      <c r="N29" s="38"/>
      <c r="O29" s="38"/>
    </row>
    <row r="30" spans="1:15" s="5" customFormat="1" ht="15.75" thickBot="1" x14ac:dyDescent="0.25">
      <c r="A30" s="44" t="s">
        <v>121</v>
      </c>
      <c r="B30" t="s">
        <v>243</v>
      </c>
      <c r="C30" t="s">
        <v>269</v>
      </c>
      <c r="D30" s="44" t="s">
        <v>71</v>
      </c>
      <c r="E30" t="s">
        <v>59</v>
      </c>
      <c r="F30" s="40" t="s">
        <v>19</v>
      </c>
      <c r="G30" s="29" t="s">
        <v>68</v>
      </c>
      <c r="H30" s="39" t="s">
        <v>31</v>
      </c>
      <c r="I30"/>
      <c r="L30" s="10"/>
      <c r="M30" s="37"/>
      <c r="N30" s="38"/>
      <c r="O30" s="38"/>
    </row>
    <row r="31" spans="1:15" s="5" customFormat="1" ht="15" x14ac:dyDescent="0.2">
      <c r="A31" s="132" t="s">
        <v>10</v>
      </c>
      <c r="B31" t="s">
        <v>271</v>
      </c>
      <c r="C31" t="s">
        <v>268</v>
      </c>
      <c r="D31" s="29" t="s">
        <v>295</v>
      </c>
      <c r="E31" t="s">
        <v>61</v>
      </c>
      <c r="F31" s="40" t="s">
        <v>192</v>
      </c>
      <c r="G31" s="29" t="s">
        <v>315</v>
      </c>
      <c r="H31" s="39" t="s">
        <v>34</v>
      </c>
      <c r="I31"/>
      <c r="L31" s="10"/>
      <c r="M31" s="37"/>
      <c r="N31" s="38"/>
      <c r="O31" s="38"/>
    </row>
    <row r="32" spans="1:15" s="5" customFormat="1" ht="15.75" thickBot="1" x14ac:dyDescent="0.25">
      <c r="A32" s="135" t="s">
        <v>11</v>
      </c>
      <c r="B32" t="s">
        <v>270</v>
      </c>
      <c r="C32" s="134" t="s">
        <v>290</v>
      </c>
      <c r="D32" s="29" t="s">
        <v>330</v>
      </c>
      <c r="E32" t="s">
        <v>89</v>
      </c>
      <c r="F32" s="40" t="s">
        <v>64</v>
      </c>
      <c r="G32" s="135" t="s">
        <v>297</v>
      </c>
      <c r="H32" s="39" t="s">
        <v>36</v>
      </c>
      <c r="I32"/>
      <c r="L32" s="10"/>
      <c r="M32" s="37"/>
      <c r="N32" s="38"/>
      <c r="O32" s="38"/>
    </row>
    <row r="33" spans="1:16" s="5" customFormat="1" ht="15" x14ac:dyDescent="0.2">
      <c r="A33" s="135" t="s">
        <v>12</v>
      </c>
      <c r="B33"/>
      <c r="C33" t="s">
        <v>359</v>
      </c>
      <c r="D33" s="29" t="s">
        <v>177</v>
      </c>
      <c r="E33" t="s">
        <v>247</v>
      </c>
      <c r="F33" s="40" t="s">
        <v>65</v>
      </c>
      <c r="G33" s="29" t="s">
        <v>296</v>
      </c>
      <c r="H33" s="39" t="s">
        <v>37</v>
      </c>
      <c r="I33"/>
      <c r="L33" s="10"/>
      <c r="M33" s="37"/>
      <c r="N33" s="38"/>
      <c r="O33" s="38"/>
    </row>
    <row r="34" spans="1:16" s="5" customFormat="1" ht="15" x14ac:dyDescent="0.2">
      <c r="A34" s="135" t="s">
        <v>52</v>
      </c>
      <c r="B34"/>
      <c r="C34"/>
      <c r="D34" s="29" t="s">
        <v>157</v>
      </c>
      <c r="E34" t="s">
        <v>248</v>
      </c>
      <c r="F34" s="40" t="s">
        <v>78</v>
      </c>
      <c r="G34" s="135" t="s">
        <v>265</v>
      </c>
      <c r="H34" s="39" t="s">
        <v>39</v>
      </c>
      <c r="I34"/>
      <c r="L34" s="10"/>
      <c r="M34" s="37"/>
      <c r="N34" s="38"/>
      <c r="O34" s="38"/>
    </row>
    <row r="35" spans="1:16" s="5" customFormat="1" ht="15.75" thickBot="1" x14ac:dyDescent="0.25">
      <c r="A35" s="135" t="s">
        <v>53</v>
      </c>
      <c r="B35"/>
      <c r="C35"/>
      <c r="D35" s="113" t="s">
        <v>339</v>
      </c>
      <c r="E35" s="3" t="s">
        <v>79</v>
      </c>
      <c r="F35" s="40" t="s">
        <v>276</v>
      </c>
      <c r="G35" s="29" t="s">
        <v>298</v>
      </c>
      <c r="H35" s="39" t="s">
        <v>40</v>
      </c>
      <c r="I35"/>
      <c r="L35" s="10"/>
      <c r="M35" s="37"/>
      <c r="N35" s="38"/>
      <c r="O35" s="38"/>
    </row>
    <row r="36" spans="1:16" s="5" customFormat="1" ht="15.75" thickBot="1" x14ac:dyDescent="0.25">
      <c r="A36" s="191" t="s">
        <v>111</v>
      </c>
      <c r="B36" s="192"/>
      <c r="C36" s="193"/>
      <c r="D36" s="194" t="s">
        <v>50</v>
      </c>
      <c r="E36" s="195"/>
      <c r="F36" s="191" t="s">
        <v>90</v>
      </c>
      <c r="G36" s="192"/>
      <c r="H36" s="193"/>
      <c r="I36" s="136"/>
      <c r="K36" s="23"/>
      <c r="L36" s="10"/>
      <c r="M36" s="37"/>
      <c r="N36" s="38"/>
      <c r="O36" s="38"/>
    </row>
    <row r="37" spans="1:16" s="5" customFormat="1" ht="15.75" thickBot="1" x14ac:dyDescent="0.25">
      <c r="A37" s="137" t="s">
        <v>112</v>
      </c>
      <c r="B37" s="138" t="s">
        <v>140</v>
      </c>
      <c r="C37" s="139" t="s">
        <v>329</v>
      </c>
      <c r="D37" s="140" t="s">
        <v>230</v>
      </c>
      <c r="E37" s="140" t="s">
        <v>55</v>
      </c>
      <c r="F37" s="141" t="s">
        <v>492</v>
      </c>
      <c r="G37" s="142" t="s">
        <v>493</v>
      </c>
      <c r="H37" s="143" t="s">
        <v>494</v>
      </c>
      <c r="I37"/>
      <c r="L37" s="10"/>
      <c r="M37" s="50" t="s">
        <v>106</v>
      </c>
      <c r="N37" s="38"/>
      <c r="O37" s="38"/>
    </row>
    <row r="38" spans="1:16" ht="15" x14ac:dyDescent="0.2">
      <c r="A38" s="144" t="s">
        <v>138</v>
      </c>
      <c r="B38" t="s">
        <v>139</v>
      </c>
      <c r="C38" s="39" t="s">
        <v>227</v>
      </c>
      <c r="D38" s="40" t="s">
        <v>51</v>
      </c>
      <c r="E38" t="s">
        <v>109</v>
      </c>
      <c r="F38" s="144" t="s">
        <v>495</v>
      </c>
      <c r="G38" s="145" t="s">
        <v>496</v>
      </c>
      <c r="H38" s="146" t="s">
        <v>497</v>
      </c>
      <c r="J38" s="7"/>
      <c r="K38" s="7"/>
      <c r="L38" s="13"/>
      <c r="M38" s="8" t="s">
        <v>105</v>
      </c>
      <c r="N38" s="2"/>
      <c r="O38" s="2"/>
    </row>
    <row r="39" spans="1:16" s="5" customFormat="1" ht="15.75" thickBot="1" x14ac:dyDescent="0.25">
      <c r="A39" s="40" t="s">
        <v>133</v>
      </c>
      <c r="B39" s="120" t="s">
        <v>299</v>
      </c>
      <c r="C39" s="146" t="s">
        <v>336</v>
      </c>
      <c r="D39" s="40" t="s">
        <v>285</v>
      </c>
      <c r="E39" t="s">
        <v>113</v>
      </c>
      <c r="F39" s="144" t="s">
        <v>498</v>
      </c>
      <c r="G39" s="120" t="s">
        <v>499</v>
      </c>
      <c r="H39" s="147" t="s">
        <v>500</v>
      </c>
      <c r="I39"/>
      <c r="J39" s="7"/>
      <c r="K39" s="7"/>
      <c r="L39" s="10"/>
      <c r="M39" s="6" t="s">
        <v>205</v>
      </c>
      <c r="N39" s="38"/>
      <c r="O39" s="38"/>
    </row>
    <row r="40" spans="1:16" s="5" customFormat="1" ht="15" x14ac:dyDescent="0.2">
      <c r="A40" s="40" t="s">
        <v>136</v>
      </c>
      <c r="B40" s="120" t="s">
        <v>279</v>
      </c>
      <c r="C40" s="146" t="s">
        <v>334</v>
      </c>
      <c r="D40" s="40" t="s">
        <v>150</v>
      </c>
      <c r="E40" s="120" t="s">
        <v>86</v>
      </c>
      <c r="F40" s="144" t="s">
        <v>501</v>
      </c>
      <c r="G40" s="120" t="s">
        <v>502</v>
      </c>
      <c r="H40" s="146" t="s">
        <v>503</v>
      </c>
      <c r="I40"/>
      <c r="J40" s="7"/>
      <c r="K40" s="7"/>
      <c r="L40" s="10"/>
      <c r="M40" s="8" t="s">
        <v>104</v>
      </c>
      <c r="N40" s="38"/>
      <c r="O40" s="38"/>
      <c r="P40" s="46"/>
    </row>
    <row r="41" spans="1:16" s="5" customFormat="1" ht="15" x14ac:dyDescent="0.2">
      <c r="A41" s="40" t="s">
        <v>137</v>
      </c>
      <c r="B41" t="s">
        <v>291</v>
      </c>
      <c r="C41" s="146" t="s">
        <v>335</v>
      </c>
      <c r="D41" s="40" t="s">
        <v>240</v>
      </c>
      <c r="E41" t="s">
        <v>286</v>
      </c>
      <c r="F41" s="144" t="s">
        <v>504</v>
      </c>
      <c r="G41" s="120" t="s">
        <v>505</v>
      </c>
      <c r="H41" s="146" t="s">
        <v>506</v>
      </c>
      <c r="I41"/>
      <c r="J41" s="7"/>
      <c r="K41" s="7"/>
      <c r="L41" s="10"/>
      <c r="M41" s="8" t="s">
        <v>107</v>
      </c>
      <c r="N41" s="38"/>
      <c r="O41" s="38"/>
      <c r="P41" s="46"/>
    </row>
    <row r="42" spans="1:16" s="5" customFormat="1" ht="15" x14ac:dyDescent="0.2">
      <c r="A42" s="144" t="s">
        <v>135</v>
      </c>
      <c r="B42" s="120" t="s">
        <v>331</v>
      </c>
      <c r="C42" s="146" t="s">
        <v>226</v>
      </c>
      <c r="D42" s="40" t="s">
        <v>281</v>
      </c>
      <c r="E42" t="s">
        <v>287</v>
      </c>
      <c r="F42" s="144" t="s">
        <v>507</v>
      </c>
      <c r="G42" s="120" t="s">
        <v>508</v>
      </c>
      <c r="H42" s="146" t="s">
        <v>509</v>
      </c>
      <c r="I42"/>
      <c r="J42" s="7"/>
      <c r="K42" s="7"/>
      <c r="L42" s="10"/>
      <c r="M42" s="8"/>
      <c r="N42" s="38"/>
      <c r="O42" s="38"/>
      <c r="P42" s="28"/>
    </row>
    <row r="43" spans="1:16" s="5" customFormat="1" ht="15.75" thickBot="1" x14ac:dyDescent="0.25">
      <c r="A43" s="144" t="s">
        <v>144</v>
      </c>
      <c r="B43" t="s">
        <v>280</v>
      </c>
      <c r="C43" s="146" t="s">
        <v>333</v>
      </c>
      <c r="D43" s="40" t="s">
        <v>301</v>
      </c>
      <c r="E43" t="s">
        <v>288</v>
      </c>
      <c r="F43" s="144" t="s">
        <v>510</v>
      </c>
      <c r="G43" s="148" t="s">
        <v>511</v>
      </c>
      <c r="H43" s="39" t="s">
        <v>512</v>
      </c>
      <c r="I43"/>
      <c r="J43" s="7"/>
      <c r="K43" s="7"/>
      <c r="L43" s="10"/>
      <c r="M43" s="8"/>
      <c r="N43" s="38"/>
      <c r="O43" s="38"/>
      <c r="P43" s="28"/>
    </row>
    <row r="44" spans="1:16" s="5" customFormat="1" ht="15.75" thickBot="1" x14ac:dyDescent="0.25">
      <c r="A44" s="144" t="s">
        <v>318</v>
      </c>
      <c r="B44" t="s">
        <v>316</v>
      </c>
      <c r="C44" s="146" t="s">
        <v>352</v>
      </c>
      <c r="D44" t="s">
        <v>302</v>
      </c>
      <c r="E44" t="s">
        <v>324</v>
      </c>
      <c r="F44" s="144" t="s">
        <v>513</v>
      </c>
      <c r="G44" s="145" t="s">
        <v>514</v>
      </c>
      <c r="H44" s="147" t="s">
        <v>515</v>
      </c>
      <c r="I44"/>
      <c r="J44" s="7"/>
      <c r="K44" s="7"/>
      <c r="L44" s="10"/>
      <c r="M44" s="8"/>
      <c r="N44" s="38"/>
      <c r="O44" s="38"/>
      <c r="P44" s="28"/>
    </row>
    <row r="45" spans="1:16" s="5" customFormat="1" ht="14.25" customHeight="1" thickBot="1" x14ac:dyDescent="0.25">
      <c r="A45" s="144" t="s">
        <v>319</v>
      </c>
      <c r="B45" t="s">
        <v>320</v>
      </c>
      <c r="C45" s="146" t="s">
        <v>304</v>
      </c>
      <c r="D45" s="40" t="s">
        <v>282</v>
      </c>
      <c r="E45" t="s">
        <v>325</v>
      </c>
      <c r="F45" s="149" t="s">
        <v>516</v>
      </c>
      <c r="G45" s="120" t="s">
        <v>517</v>
      </c>
      <c r="H45" s="146" t="s">
        <v>518</v>
      </c>
      <c r="I45"/>
      <c r="J45" s="7"/>
      <c r="K45" s="7"/>
      <c r="L45" s="10"/>
      <c r="M45" s="8"/>
      <c r="N45" s="38"/>
      <c r="O45" s="38"/>
      <c r="P45" s="28"/>
    </row>
    <row r="46" spans="1:16" s="5" customFormat="1" ht="13.5" thickBot="1" x14ac:dyDescent="0.25">
      <c r="A46" s="149" t="s">
        <v>328</v>
      </c>
      <c r="B46" s="148" t="s">
        <v>332</v>
      </c>
      <c r="C46" s="134" t="s">
        <v>362</v>
      </c>
      <c r="D46" s="150" t="s">
        <v>317</v>
      </c>
      <c r="E46" s="3" t="s">
        <v>349</v>
      </c>
      <c r="F46" s="151" t="s">
        <v>519</v>
      </c>
      <c r="G46" s="120" t="s">
        <v>520</v>
      </c>
      <c r="H46" s="146" t="s">
        <v>521</v>
      </c>
      <c r="I46"/>
      <c r="J46" s="43"/>
      <c r="L46" s="7"/>
      <c r="M46" s="6" t="s">
        <v>206</v>
      </c>
      <c r="N46" s="38"/>
      <c r="O46" s="38"/>
      <c r="P46" s="38"/>
    </row>
    <row r="47" spans="1:16" ht="15.75" thickBot="1" x14ac:dyDescent="0.3">
      <c r="A47" s="71" t="s">
        <v>158</v>
      </c>
      <c r="B47" t="s">
        <v>165</v>
      </c>
      <c r="C47" s="146" t="s">
        <v>172</v>
      </c>
      <c r="D47" s="11" t="s">
        <v>123</v>
      </c>
      <c r="F47" s="144" t="s">
        <v>522</v>
      </c>
      <c r="G47" s="120" t="s">
        <v>523</v>
      </c>
      <c r="H47" s="146" t="s">
        <v>524</v>
      </c>
      <c r="J47" s="27"/>
      <c r="K47" s="5"/>
      <c r="M47" s="6" t="s">
        <v>151</v>
      </c>
      <c r="N47" s="2"/>
      <c r="O47" s="2"/>
      <c r="P47" s="2"/>
    </row>
    <row r="48" spans="1:16" ht="15" x14ac:dyDescent="0.2">
      <c r="A48" s="40" t="s">
        <v>159</v>
      </c>
      <c r="B48" t="s">
        <v>166</v>
      </c>
      <c r="C48" s="146" t="s">
        <v>171</v>
      </c>
      <c r="D48" s="174"/>
      <c r="F48" s="152" t="s">
        <v>525</v>
      </c>
      <c r="G48" s="177" t="s">
        <v>526</v>
      </c>
      <c r="H48" s="39" t="s">
        <v>527</v>
      </c>
      <c r="J48" s="13"/>
      <c r="K48" s="5"/>
      <c r="M48" s="8" t="s">
        <v>88</v>
      </c>
      <c r="N48" s="2"/>
      <c r="O48" s="2"/>
      <c r="P48" s="2"/>
    </row>
    <row r="49" spans="1:16" ht="15.75" thickBot="1" x14ac:dyDescent="0.3">
      <c r="A49" s="40" t="s">
        <v>160</v>
      </c>
      <c r="B49" t="s">
        <v>168</v>
      </c>
      <c r="C49" s="146" t="s">
        <v>170</v>
      </c>
      <c r="D49" s="66"/>
      <c r="E49" s="153" t="s">
        <v>115</v>
      </c>
      <c r="F49" s="154" t="s">
        <v>528</v>
      </c>
      <c r="G49" s="178" t="s">
        <v>529</v>
      </c>
      <c r="H49" s="134" t="s">
        <v>530</v>
      </c>
      <c r="I49" s="179"/>
      <c r="J49" s="12"/>
      <c r="M49" s="8" t="s">
        <v>108</v>
      </c>
      <c r="N49" s="2"/>
      <c r="O49" s="2"/>
      <c r="P49" s="2"/>
    </row>
    <row r="50" spans="1:16" ht="15" x14ac:dyDescent="0.2">
      <c r="A50" s="40" t="s">
        <v>161</v>
      </c>
      <c r="B50" t="s">
        <v>169</v>
      </c>
      <c r="C50" s="146" t="s">
        <v>179</v>
      </c>
      <c r="D50" s="66"/>
      <c r="E50" s="126" t="s">
        <v>116</v>
      </c>
      <c r="F50" s="66"/>
      <c r="G50" s="155"/>
      <c r="I50" s="156"/>
      <c r="J50" s="13"/>
      <c r="M50" s="47" t="s">
        <v>124</v>
      </c>
      <c r="N50" s="2"/>
      <c r="O50" s="2"/>
      <c r="P50" s="2"/>
    </row>
    <row r="51" spans="1:16" x14ac:dyDescent="0.2">
      <c r="A51" s="40" t="s">
        <v>175</v>
      </c>
      <c r="B51" t="s">
        <v>173</v>
      </c>
      <c r="C51" s="146" t="s">
        <v>167</v>
      </c>
      <c r="D51" s="146"/>
      <c r="E51" s="126" t="s">
        <v>117</v>
      </c>
      <c r="F51" s="66"/>
      <c r="G51" s="120"/>
      <c r="H51" s="66"/>
      <c r="I51" s="157"/>
      <c r="J51" s="16"/>
      <c r="M51" s="25" t="s">
        <v>89</v>
      </c>
      <c r="N51" s="2"/>
      <c r="O51" s="2"/>
      <c r="P51" s="2"/>
    </row>
    <row r="52" spans="1:16" x14ac:dyDescent="0.2">
      <c r="A52" s="40" t="s">
        <v>163</v>
      </c>
      <c r="B52" t="s">
        <v>176</v>
      </c>
      <c r="C52" s="146" t="s">
        <v>164</v>
      </c>
      <c r="D52" s="174"/>
      <c r="E52" s="126" t="s">
        <v>118</v>
      </c>
      <c r="F52" s="66"/>
      <c r="G52" s="120"/>
      <c r="H52" s="146"/>
      <c r="I52" s="157"/>
      <c r="J52" s="16"/>
      <c r="M52" s="47" t="s">
        <v>145</v>
      </c>
      <c r="N52" s="2"/>
      <c r="O52" s="2"/>
      <c r="P52" s="2"/>
    </row>
    <row r="53" spans="1:16" ht="13.5" thickBot="1" x14ac:dyDescent="0.25">
      <c r="A53" s="150"/>
      <c r="B53" s="3" t="s">
        <v>280</v>
      </c>
      <c r="C53" s="147" t="s">
        <v>162</v>
      </c>
      <c r="D53" s="174"/>
      <c r="E53" s="126" t="s">
        <v>41</v>
      </c>
      <c r="F53" s="66"/>
      <c r="H53" s="39"/>
      <c r="I53" s="157"/>
      <c r="J53" s="20"/>
      <c r="K53" s="5"/>
      <c r="N53" s="2"/>
      <c r="O53" s="2"/>
      <c r="P53" s="2"/>
    </row>
    <row r="54" spans="1:16" ht="15.75" thickBot="1" x14ac:dyDescent="0.3">
      <c r="A54" s="198" t="s">
        <v>0</v>
      </c>
      <c r="B54" s="198"/>
      <c r="C54" s="174"/>
      <c r="D54" s="174"/>
      <c r="E54" s="126" t="s">
        <v>119</v>
      </c>
      <c r="F54" s="66"/>
      <c r="G54" s="155"/>
      <c r="H54" s="146"/>
      <c r="I54" s="157"/>
      <c r="J54" s="19"/>
      <c r="K54" s="5"/>
    </row>
    <row r="55" spans="1:16" ht="13.5" thickBot="1" x14ac:dyDescent="0.25">
      <c r="A55" s="196"/>
      <c r="B55" s="197"/>
      <c r="E55" s="126" t="s">
        <v>120</v>
      </c>
      <c r="F55" s="66"/>
      <c r="G55" s="155"/>
      <c r="H55" s="146"/>
      <c r="I55" s="157"/>
      <c r="J55" s="19"/>
      <c r="K55" s="4"/>
    </row>
    <row r="56" spans="1:16" ht="13.5" thickBot="1" x14ac:dyDescent="0.25">
      <c r="A56" s="196"/>
      <c r="B56" s="197"/>
      <c r="D56" s="120"/>
      <c r="E56" s="126" t="s">
        <v>1</v>
      </c>
      <c r="F56" s="174"/>
      <c r="H56" s="146"/>
      <c r="J56" s="19"/>
      <c r="K56" s="5"/>
      <c r="L56" s="18"/>
    </row>
    <row r="57" spans="1:16" ht="15.75" thickBot="1" x14ac:dyDescent="0.3">
      <c r="A57" s="182"/>
      <c r="B57" s="183"/>
      <c r="D57" s="11"/>
      <c r="E57" s="11"/>
      <c r="F57" s="11"/>
      <c r="G57" s="14"/>
      <c r="H57" s="15"/>
      <c r="I57" s="15"/>
      <c r="J57" s="19"/>
      <c r="K57" s="5"/>
      <c r="L57" s="18"/>
    </row>
    <row r="58" spans="1:16" ht="15.75" thickBot="1" x14ac:dyDescent="0.3">
      <c r="A58" s="182"/>
      <c r="B58" s="183"/>
      <c r="D58" s="11" t="s">
        <v>42</v>
      </c>
      <c r="E58" s="11" t="s">
        <v>43</v>
      </c>
      <c r="F58" s="11" t="s">
        <v>44</v>
      </c>
      <c r="G58" s="14" t="s">
        <v>45</v>
      </c>
      <c r="H58" s="15" t="s">
        <v>46</v>
      </c>
      <c r="I58" s="15" t="s">
        <v>1</v>
      </c>
      <c r="J58" s="19"/>
      <c r="K58" s="7"/>
      <c r="L58" s="18"/>
    </row>
    <row r="59" spans="1:16" ht="13.5" thickBot="1" x14ac:dyDescent="0.25">
      <c r="A59" s="182"/>
      <c r="B59" s="183"/>
      <c r="D59" s="70"/>
      <c r="E59" s="72"/>
      <c r="F59" s="72"/>
      <c r="G59" s="72"/>
      <c r="H59" s="72"/>
      <c r="I59" s="12"/>
      <c r="J59" s="19"/>
      <c r="K59" s="4"/>
      <c r="L59" s="18"/>
    </row>
    <row r="60" spans="1:16" ht="13.5" thickBot="1" x14ac:dyDescent="0.25">
      <c r="A60" s="182"/>
      <c r="B60" s="183"/>
      <c r="D60" s="64"/>
      <c r="E60" s="64"/>
      <c r="F60" s="64"/>
      <c r="G60" s="64"/>
      <c r="H60" s="18"/>
      <c r="I60" s="19"/>
      <c r="J60" s="19"/>
      <c r="K60" s="5"/>
      <c r="L60" s="18"/>
      <c r="M60" s="44" t="s">
        <v>153</v>
      </c>
    </row>
    <row r="61" spans="1:16" ht="13.5" thickBot="1" x14ac:dyDescent="0.25">
      <c r="A61" s="182"/>
      <c r="B61" s="183"/>
      <c r="D61" s="74"/>
      <c r="E61" s="74"/>
      <c r="F61" s="78"/>
      <c r="G61" s="78"/>
      <c r="H61" s="18"/>
      <c r="I61" s="19"/>
      <c r="J61" s="19"/>
      <c r="L61" s="18"/>
      <c r="M61" s="47" t="s">
        <v>154</v>
      </c>
    </row>
    <row r="62" spans="1:16" ht="13.5" thickBot="1" x14ac:dyDescent="0.25">
      <c r="A62" s="182"/>
      <c r="B62" s="183"/>
      <c r="D62" s="17"/>
      <c r="E62" s="3"/>
      <c r="F62" s="22"/>
      <c r="G62" s="22"/>
      <c r="H62" s="22"/>
      <c r="I62" s="22"/>
      <c r="J62" s="19"/>
      <c r="K62" s="5"/>
      <c r="L62" s="18"/>
      <c r="M62" s="47" t="s">
        <v>124</v>
      </c>
    </row>
    <row r="63" spans="1:16" ht="13.5" thickBot="1" x14ac:dyDescent="0.25">
      <c r="A63" s="182"/>
      <c r="B63" s="183"/>
      <c r="G63" s="18"/>
      <c r="H63" s="18"/>
      <c r="I63" s="19"/>
      <c r="J63" s="19"/>
      <c r="K63" s="5"/>
      <c r="L63" s="18"/>
      <c r="M63" s="18"/>
    </row>
    <row r="64" spans="1:16" ht="13.5" thickBot="1" x14ac:dyDescent="0.25">
      <c r="A64" s="182"/>
      <c r="B64" s="183"/>
      <c r="D64" s="5"/>
      <c r="E64" s="5"/>
      <c r="F64" s="5"/>
      <c r="G64" s="21"/>
      <c r="H64" s="21"/>
      <c r="I64" s="18"/>
      <c r="J64" s="19"/>
      <c r="K64" s="5"/>
      <c r="L64" s="18"/>
      <c r="M64" s="18"/>
    </row>
    <row r="65" spans="1:13" ht="13.5" thickBot="1" x14ac:dyDescent="0.25">
      <c r="A65" s="182"/>
      <c r="B65" s="183"/>
      <c r="D65" s="5"/>
      <c r="E65" s="5"/>
      <c r="F65" s="5"/>
      <c r="G65" s="21"/>
      <c r="H65" s="21"/>
      <c r="I65" s="18"/>
      <c r="J65" s="19"/>
      <c r="K65" s="5"/>
      <c r="L65" s="18"/>
      <c r="M65" s="18"/>
    </row>
    <row r="66" spans="1:13" ht="13.5" thickBot="1" x14ac:dyDescent="0.25">
      <c r="A66" s="187"/>
      <c r="B66" s="188"/>
      <c r="D66" s="5"/>
      <c r="E66" s="5"/>
      <c r="F66" s="5"/>
      <c r="G66" s="21"/>
      <c r="H66" s="21"/>
      <c r="I66" s="18"/>
      <c r="J66" s="19"/>
      <c r="K66" s="7"/>
      <c r="L66" s="18"/>
      <c r="M66" s="18"/>
    </row>
    <row r="67" spans="1:13" ht="13.5" thickBot="1" x14ac:dyDescent="0.25">
      <c r="A67" s="180"/>
      <c r="B67" s="181"/>
      <c r="D67" s="5"/>
      <c r="E67" s="5"/>
      <c r="F67" s="5"/>
      <c r="G67" s="21"/>
      <c r="H67" s="21"/>
      <c r="I67" s="18"/>
      <c r="J67" s="19"/>
      <c r="K67" s="7"/>
      <c r="L67" s="18"/>
      <c r="M67" s="18"/>
    </row>
    <row r="68" spans="1:13" ht="13.5" thickBot="1" x14ac:dyDescent="0.25">
      <c r="A68" s="180"/>
      <c r="B68" s="181"/>
      <c r="D68" s="5"/>
      <c r="E68" s="5"/>
      <c r="F68" s="5"/>
      <c r="G68" s="21"/>
      <c r="H68" s="21"/>
      <c r="I68" s="18"/>
      <c r="J68" s="19"/>
      <c r="L68" s="18"/>
      <c r="M68" s="18"/>
    </row>
    <row r="69" spans="1:13" ht="13.5" thickBot="1" x14ac:dyDescent="0.25">
      <c r="A69" s="180"/>
      <c r="B69" s="181"/>
      <c r="D69" s="5"/>
      <c r="E69" s="5"/>
      <c r="F69" s="5"/>
      <c r="G69" s="21"/>
      <c r="H69" s="21"/>
      <c r="I69" s="18"/>
      <c r="J69" s="19"/>
      <c r="L69" s="18"/>
      <c r="M69" s="18"/>
    </row>
    <row r="70" spans="1:13" ht="13.5" thickBot="1" x14ac:dyDescent="0.25">
      <c r="A70" s="180"/>
      <c r="B70" s="181"/>
      <c r="D70" s="5"/>
      <c r="E70" s="5"/>
      <c r="F70" s="5"/>
      <c r="G70" s="21"/>
      <c r="H70" s="21"/>
      <c r="I70" s="18"/>
      <c r="J70" s="19"/>
      <c r="K70" s="32" t="s">
        <v>142</v>
      </c>
      <c r="L70" s="18"/>
      <c r="M70" s="18"/>
    </row>
    <row r="71" spans="1:13" ht="13.5" thickBot="1" x14ac:dyDescent="0.25">
      <c r="A71" s="180"/>
      <c r="B71" s="181"/>
      <c r="C71" s="5"/>
      <c r="D71" s="5"/>
      <c r="E71" s="5"/>
      <c r="F71" s="5"/>
      <c r="G71" s="21"/>
      <c r="H71" s="21"/>
      <c r="I71" s="18"/>
      <c r="J71" s="19"/>
      <c r="K71" s="33" t="s">
        <v>87</v>
      </c>
      <c r="L71" s="18"/>
      <c r="M71" s="18"/>
    </row>
    <row r="72" spans="1:13" ht="13.5" thickBot="1" x14ac:dyDescent="0.25">
      <c r="A72" s="180"/>
      <c r="B72" s="181"/>
      <c r="D72" s="5"/>
      <c r="E72" s="5"/>
      <c r="F72" s="5"/>
      <c r="G72" s="21"/>
      <c r="H72" s="21"/>
      <c r="I72" s="18"/>
      <c r="J72" s="18"/>
      <c r="K72" s="9" t="s">
        <v>23</v>
      </c>
      <c r="L72" s="18"/>
      <c r="M72" s="18"/>
    </row>
    <row r="73" spans="1:13" ht="13.5" thickBot="1" x14ac:dyDescent="0.25">
      <c r="A73" s="180"/>
      <c r="B73" s="181"/>
      <c r="C73" s="5"/>
      <c r="D73" s="5"/>
      <c r="E73" s="5"/>
      <c r="F73" s="5"/>
      <c r="G73" s="21"/>
      <c r="H73" s="21"/>
      <c r="I73" s="18"/>
      <c r="J73" s="18"/>
      <c r="K73" s="18"/>
      <c r="L73" s="18"/>
      <c r="M73" s="18"/>
    </row>
    <row r="74" spans="1:13" ht="13.5" thickBot="1" x14ac:dyDescent="0.25">
      <c r="A74" s="180"/>
      <c r="B74" s="181"/>
      <c r="C74" s="5"/>
      <c r="D74" s="5"/>
      <c r="E74" s="5"/>
      <c r="F74" s="5"/>
      <c r="G74" s="21"/>
      <c r="H74" s="21"/>
      <c r="I74" s="18"/>
      <c r="J74" s="18"/>
      <c r="K74" s="32" t="s">
        <v>91</v>
      </c>
      <c r="L74" s="18"/>
      <c r="M74" s="18"/>
    </row>
    <row r="75" spans="1:13" ht="13.5" thickBot="1" x14ac:dyDescent="0.25">
      <c r="A75" s="180"/>
      <c r="B75" s="181"/>
      <c r="C75" s="5"/>
      <c r="D75" s="5"/>
      <c r="E75" s="5"/>
      <c r="F75" s="5"/>
      <c r="G75" s="21"/>
      <c r="H75" s="21"/>
      <c r="I75" s="18"/>
      <c r="J75" s="18"/>
      <c r="K75" s="35" t="s">
        <v>92</v>
      </c>
      <c r="L75" s="18"/>
      <c r="M75" s="18"/>
    </row>
    <row r="76" spans="1:13" ht="13.5" thickBot="1" x14ac:dyDescent="0.25">
      <c r="A76" s="180"/>
      <c r="B76" s="181"/>
      <c r="C76" s="5"/>
      <c r="D76" s="5"/>
      <c r="E76" s="5"/>
      <c r="F76" s="5"/>
      <c r="G76" s="21"/>
      <c r="H76" s="21"/>
      <c r="I76" s="18"/>
      <c r="J76" s="18"/>
      <c r="K76" s="36" t="s">
        <v>93</v>
      </c>
      <c r="L76" s="18"/>
      <c r="M76" s="18"/>
    </row>
    <row r="77" spans="1:13" ht="13.5" thickBot="1" x14ac:dyDescent="0.25">
      <c r="A77" s="180"/>
      <c r="B77" s="181"/>
      <c r="D77" s="5"/>
      <c r="E77" s="5"/>
      <c r="F77" s="5"/>
      <c r="G77" s="21"/>
      <c r="H77" s="21"/>
      <c r="I77" s="18"/>
      <c r="J77" s="18"/>
      <c r="K77" s="32" t="s">
        <v>94</v>
      </c>
      <c r="L77" s="18"/>
      <c r="M77" s="18"/>
    </row>
    <row r="78" spans="1:13" ht="13.5" thickBot="1" x14ac:dyDescent="0.25">
      <c r="A78" s="180"/>
      <c r="B78" s="181"/>
      <c r="D78" s="5"/>
      <c r="E78" s="5"/>
      <c r="F78" s="5"/>
      <c r="G78" s="21"/>
      <c r="H78" s="21"/>
      <c r="I78" s="18"/>
      <c r="J78" s="18"/>
      <c r="K78" s="32" t="s">
        <v>95</v>
      </c>
      <c r="L78" s="18"/>
      <c r="M78" s="18"/>
    </row>
    <row r="79" spans="1:13" ht="13.5" thickBot="1" x14ac:dyDescent="0.25">
      <c r="A79" s="180"/>
      <c r="B79" s="181"/>
      <c r="C79" s="5"/>
      <c r="D79" s="5"/>
      <c r="E79" s="5"/>
      <c r="F79" s="5"/>
      <c r="G79" s="21"/>
      <c r="H79" s="21"/>
      <c r="I79" s="18"/>
      <c r="J79" s="18"/>
      <c r="K79" s="41" t="s">
        <v>97</v>
      </c>
      <c r="L79" s="18"/>
      <c r="M79" s="18"/>
    </row>
    <row r="80" spans="1:13" ht="13.5" thickBot="1" x14ac:dyDescent="0.25">
      <c r="A80" s="180"/>
      <c r="B80" s="181"/>
      <c r="C80" s="5"/>
      <c r="D80" s="5"/>
      <c r="E80" s="5"/>
      <c r="F80" s="5"/>
      <c r="G80" s="21"/>
      <c r="H80" s="21"/>
      <c r="I80" s="18"/>
      <c r="J80" s="18"/>
      <c r="K80" s="51" t="s">
        <v>143</v>
      </c>
      <c r="L80" s="18"/>
      <c r="M80" s="18"/>
    </row>
    <row r="81" spans="1:13" ht="13.5" thickBot="1" x14ac:dyDescent="0.25">
      <c r="A81" s="180"/>
      <c r="B81" s="181"/>
      <c r="C81" s="5"/>
      <c r="D81" s="5"/>
      <c r="E81" s="5"/>
      <c r="F81" s="5"/>
      <c r="G81" s="21"/>
      <c r="H81" s="21"/>
      <c r="I81" s="18"/>
      <c r="J81" s="18"/>
      <c r="K81" s="51" t="s">
        <v>98</v>
      </c>
      <c r="L81" s="18"/>
      <c r="M81" s="18"/>
    </row>
    <row r="82" spans="1:13" ht="13.5" thickBot="1" x14ac:dyDescent="0.25">
      <c r="A82" s="180"/>
      <c r="B82" s="181"/>
      <c r="C82" s="5"/>
      <c r="D82" s="5"/>
      <c r="E82" s="5"/>
      <c r="F82" s="5"/>
      <c r="G82" s="21"/>
      <c r="H82" s="21"/>
      <c r="I82" s="18"/>
      <c r="J82" s="18"/>
      <c r="K82" s="36" t="s">
        <v>152</v>
      </c>
      <c r="L82" s="18"/>
      <c r="M82" s="18"/>
    </row>
    <row r="83" spans="1:13" ht="13.5" thickBot="1" x14ac:dyDescent="0.25">
      <c r="A83" s="180"/>
      <c r="B83" s="181"/>
      <c r="C83" s="5"/>
      <c r="D83" s="5"/>
      <c r="E83" s="5"/>
      <c r="F83" s="5"/>
      <c r="G83" s="21"/>
      <c r="H83" s="21"/>
      <c r="I83" s="18"/>
      <c r="J83" s="18"/>
      <c r="K83" s="36" t="s">
        <v>99</v>
      </c>
      <c r="L83" s="18"/>
      <c r="M83" s="18"/>
    </row>
    <row r="84" spans="1:13" ht="13.5" thickBot="1" x14ac:dyDescent="0.25">
      <c r="A84" s="180"/>
      <c r="B84" s="181"/>
      <c r="C84" s="5"/>
      <c r="D84" s="5"/>
      <c r="E84" s="5"/>
      <c r="F84" s="5"/>
      <c r="G84" s="21"/>
      <c r="H84" s="21"/>
      <c r="I84" s="18"/>
      <c r="J84" s="18"/>
      <c r="K84" s="36" t="s">
        <v>100</v>
      </c>
      <c r="L84" s="18"/>
      <c r="M84" s="18"/>
    </row>
    <row r="85" spans="1:13" ht="13.5" thickBot="1" x14ac:dyDescent="0.25">
      <c r="A85" s="180"/>
      <c r="B85" s="181"/>
      <c r="C85" s="5"/>
      <c r="D85" s="5"/>
      <c r="E85" s="5"/>
      <c r="F85" s="5"/>
      <c r="G85" s="21"/>
      <c r="H85" s="21"/>
      <c r="I85" s="18"/>
      <c r="J85" s="18"/>
      <c r="K85" s="36" t="s">
        <v>101</v>
      </c>
      <c r="L85" s="18"/>
      <c r="M85" s="18"/>
    </row>
    <row r="86" spans="1:13" ht="13.5" thickBot="1" x14ac:dyDescent="0.25">
      <c r="A86" s="5"/>
      <c r="B86" s="5"/>
      <c r="C86" s="5"/>
      <c r="D86" s="5"/>
      <c r="E86" s="5"/>
      <c r="F86" s="5"/>
      <c r="G86" s="21"/>
      <c r="H86" s="21"/>
      <c r="I86" s="18"/>
      <c r="J86" s="18"/>
      <c r="K86" s="36" t="s">
        <v>102</v>
      </c>
      <c r="L86" s="18"/>
      <c r="M86" s="18"/>
    </row>
    <row r="87" spans="1:13" ht="13.5" thickBot="1" x14ac:dyDescent="0.25">
      <c r="A87" s="184" t="s">
        <v>84</v>
      </c>
      <c r="B87" s="185"/>
      <c r="C87" s="186"/>
      <c r="D87" s="5"/>
      <c r="E87" s="5"/>
      <c r="F87" s="5"/>
      <c r="G87" s="21"/>
      <c r="H87" s="21"/>
      <c r="I87" s="18"/>
      <c r="J87" s="18"/>
      <c r="K87" s="41" t="s">
        <v>103</v>
      </c>
      <c r="L87" s="18"/>
      <c r="M87" s="18"/>
    </row>
    <row r="88" spans="1:13" ht="13.5" thickBot="1" x14ac:dyDescent="0.25">
      <c r="A88" s="5"/>
      <c r="B88" s="5"/>
      <c r="C88" s="5"/>
      <c r="D88" s="5"/>
      <c r="E88" s="5"/>
      <c r="F88" s="5"/>
      <c r="G88" s="21"/>
      <c r="H88" s="21"/>
      <c r="I88" s="18"/>
      <c r="J88" s="18"/>
      <c r="K88" s="34" t="s">
        <v>156</v>
      </c>
      <c r="L88" s="18"/>
      <c r="M88" s="18"/>
    </row>
    <row r="89" spans="1:13" x14ac:dyDescent="0.2">
      <c r="A89" s="5"/>
      <c r="B89" s="5"/>
      <c r="C89" s="5"/>
      <c r="D89" s="5"/>
      <c r="E89" s="5"/>
      <c r="F89" s="5"/>
      <c r="G89" s="21"/>
      <c r="H89" s="21"/>
      <c r="I89" s="18"/>
      <c r="J89" s="18"/>
      <c r="K89" s="32" t="s">
        <v>146</v>
      </c>
      <c r="L89" s="18"/>
      <c r="M89" s="18"/>
    </row>
    <row r="90" spans="1:13" x14ac:dyDescent="0.2">
      <c r="A90" s="5"/>
      <c r="B90" s="5"/>
      <c r="C90" s="5"/>
      <c r="D90" s="5"/>
      <c r="E90" s="5"/>
      <c r="F90" s="5"/>
      <c r="G90" s="21"/>
      <c r="H90" s="21"/>
      <c r="I90" s="18"/>
      <c r="J90" s="18"/>
      <c r="K90" s="18"/>
      <c r="L90" s="18"/>
      <c r="M90" s="18"/>
    </row>
    <row r="91" spans="1:13" x14ac:dyDescent="0.2">
      <c r="A91" s="5"/>
      <c r="B91" s="5"/>
      <c r="C91" s="5"/>
      <c r="D91" s="5"/>
      <c r="E91" s="5"/>
      <c r="F91" s="5"/>
      <c r="G91" s="21"/>
      <c r="H91" s="21"/>
      <c r="I91" s="18"/>
      <c r="J91" s="18"/>
      <c r="K91" s="18"/>
      <c r="L91" s="18"/>
      <c r="M91" s="18"/>
    </row>
    <row r="92" spans="1:13" x14ac:dyDescent="0.2">
      <c r="A92" s="5"/>
      <c r="B92" s="5"/>
      <c r="C92" s="5"/>
      <c r="D92" s="5"/>
      <c r="E92" s="5"/>
      <c r="F92" s="5"/>
      <c r="G92" s="21"/>
      <c r="H92" s="21"/>
      <c r="I92" s="18"/>
      <c r="J92" s="18"/>
      <c r="K92" s="18"/>
      <c r="L92" s="18"/>
      <c r="M92" s="18"/>
    </row>
    <row r="93" spans="1:13" x14ac:dyDescent="0.2">
      <c r="A93" s="5"/>
      <c r="B93" s="5"/>
      <c r="C93" s="5"/>
      <c r="D93" s="5"/>
      <c r="E93" s="5"/>
      <c r="F93" s="5"/>
      <c r="G93" s="21"/>
      <c r="H93" s="21"/>
      <c r="I93" s="18"/>
    </row>
    <row r="94" spans="1:13" x14ac:dyDescent="0.2">
      <c r="A94" s="5"/>
      <c r="B94" s="5"/>
      <c r="C94" s="5"/>
      <c r="G94" s="18"/>
      <c r="H94" s="18"/>
      <c r="I94" s="18"/>
    </row>
    <row r="95" spans="1:13" x14ac:dyDescent="0.2">
      <c r="A95" s="5"/>
      <c r="B95" s="5"/>
      <c r="C95" s="5"/>
      <c r="G95" s="18"/>
      <c r="H95" s="18"/>
      <c r="I95" s="18"/>
    </row>
    <row r="96" spans="1:13" x14ac:dyDescent="0.2">
      <c r="A96" s="5"/>
      <c r="B96" s="5"/>
      <c r="C96" s="5"/>
      <c r="G96" s="18"/>
      <c r="H96" s="18"/>
      <c r="I96" s="18"/>
    </row>
    <row r="97" spans="1:9" x14ac:dyDescent="0.2">
      <c r="A97" s="5"/>
      <c r="B97" s="5"/>
      <c r="C97" s="5"/>
      <c r="G97" s="18"/>
      <c r="H97" s="18"/>
      <c r="I97" s="18"/>
    </row>
    <row r="98" spans="1:9" x14ac:dyDescent="0.2">
      <c r="A98" s="5"/>
      <c r="B98" s="5"/>
      <c r="C98" s="5"/>
      <c r="G98" s="18"/>
      <c r="H98" s="18"/>
      <c r="I98" s="18"/>
    </row>
    <row r="99" spans="1:9" x14ac:dyDescent="0.2">
      <c r="A99" s="5"/>
      <c r="B99" s="5"/>
      <c r="C99" s="5"/>
      <c r="G99" s="18"/>
      <c r="H99" s="18"/>
      <c r="I99" s="18"/>
    </row>
    <row r="100" spans="1:9" x14ac:dyDescent="0.2">
      <c r="A100" s="5"/>
      <c r="B100" s="5"/>
      <c r="C100" s="5"/>
    </row>
  </sheetData>
  <sheetProtection selectLockedCells="1" selectUnlockedCells="1"/>
  <mergeCells count="37">
    <mergeCell ref="A61:B61"/>
    <mergeCell ref="D7:E7"/>
    <mergeCell ref="F36:H36"/>
    <mergeCell ref="A75:B75"/>
    <mergeCell ref="A76:B76"/>
    <mergeCell ref="A62:B62"/>
    <mergeCell ref="A36:C36"/>
    <mergeCell ref="D36:E36"/>
    <mergeCell ref="A57:B57"/>
    <mergeCell ref="A58:B58"/>
    <mergeCell ref="A59:B59"/>
    <mergeCell ref="A73:B73"/>
    <mergeCell ref="A74:B74"/>
    <mergeCell ref="A56:B56"/>
    <mergeCell ref="A55:B55"/>
    <mergeCell ref="A54:B54"/>
    <mergeCell ref="A60:B60"/>
    <mergeCell ref="A87:C87"/>
    <mergeCell ref="A69:B69"/>
    <mergeCell ref="A64:B64"/>
    <mergeCell ref="A65:B65"/>
    <mergeCell ref="A66:B66"/>
    <mergeCell ref="A67:B67"/>
    <mergeCell ref="A68:B68"/>
    <mergeCell ref="A70:B70"/>
    <mergeCell ref="A63:B63"/>
    <mergeCell ref="A71:B71"/>
    <mergeCell ref="A72:B72"/>
    <mergeCell ref="A77:B77"/>
    <mergeCell ref="A83:B83"/>
    <mergeCell ref="A84:B84"/>
    <mergeCell ref="A85:B85"/>
    <mergeCell ref="A78:B78"/>
    <mergeCell ref="A79:B79"/>
    <mergeCell ref="A80:B80"/>
    <mergeCell ref="A81:B81"/>
    <mergeCell ref="A82:B82"/>
  </mergeCells>
  <conditionalFormatting sqref="B6:H6">
    <cfRule type="cellIs" dxfId="10" priority="1" operator="lessThanOrEqual">
      <formula>NOW()</formula>
    </cfRule>
  </conditionalFormatting>
  <hyperlinks>
    <hyperlink ref="I9" r:id="rId1" xr:uid="{64750106-A493-4BE6-8CC6-74CDCAC51DA6}"/>
    <hyperlink ref="I10" r:id="rId2" display="Approvable Rations Chart" xr:uid="{DE2822B9-C3BC-4EB4-BE2D-D9CF9B2CC32A}"/>
    <hyperlink ref="I11" r:id="rId3" xr:uid="{82504A1D-BC26-4509-8A95-5F5A12D40F8E}"/>
    <hyperlink ref="I12" r:id="rId4" xr:uid="{95DDD562-FF42-49FC-8876-7ACF1CF46536}"/>
    <hyperlink ref="I13" r:id="rId5" xr:uid="{F1421CDA-7308-40E9-A440-0C4CF110B0D6}"/>
    <hyperlink ref="I14" r:id="rId6" xr:uid="{A92832BC-474D-42FF-92FB-15EAD2D50FC1}"/>
    <hyperlink ref="I15" r:id="rId7" xr:uid="{AFB431AF-38A1-42D7-873D-B3206202CA5F}"/>
    <hyperlink ref="I16" r:id="rId8" xr:uid="{11392AE9-B2AB-49E5-85B4-43DC10EE093C}"/>
    <hyperlink ref="I17" r:id="rId9" xr:uid="{751F111D-1502-4603-A626-0FC3E4B8DAB0}"/>
    <hyperlink ref="I18" r:id="rId10" xr:uid="{E6B63075-B1A3-4296-AD0E-367888E4AD6F}"/>
    <hyperlink ref="I19" r:id="rId11" xr:uid="{38A8D73C-EE48-4328-A8ED-EE8D9B527ED2}"/>
    <hyperlink ref="I20" r:id="rId12" xr:uid="{8BA1C554-E384-4FD0-925D-AE880C5622C5}"/>
    <hyperlink ref="G8" r:id="rId13" xr:uid="{D6736103-07EA-4F90-9D4D-748D06FD697F}"/>
    <hyperlink ref="G2" location="'FHA Master'!A1" display="Go to Master Sheet" xr:uid="{8DB585FC-D358-4D61-B723-A74029C649E7}"/>
  </hyperlinks>
  <pageMargins left="0.7" right="0.7" top="0.75" bottom="0.75" header="0.3" footer="0.3"/>
  <pageSetup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1437" r:id="rId17" name="Button 413">
              <controlPr defaultSize="0" print="0" autoFill="0" autoPict="0" macro="[0]!Sheet38.SearchSheetName">
                <anchor moveWithCells="1" sizeWithCells="1">
                  <from>
                    <xdr:col>4</xdr:col>
                    <xdr:colOff>66675</xdr:colOff>
                    <xdr:row>0</xdr:row>
                    <xdr:rowOff>85725</xdr:rowOff>
                  </from>
                  <to>
                    <xdr:col>5</xdr:col>
                    <xdr:colOff>2181225</xdr:colOff>
                    <xdr:row>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66DD-E6D0-4B68-A00F-81E14B799496}">
  <sheetPr codeName="Sheet37">
    <tabColor rgb="FF00B050"/>
  </sheetPr>
  <dimension ref="A1:P197"/>
  <sheetViews>
    <sheetView zoomScale="125" zoomScaleNormal="125" workbookViewId="0">
      <selection activeCell="F2" sqref="F2"/>
    </sheetView>
  </sheetViews>
  <sheetFormatPr defaultRowHeight="12.75" x14ac:dyDescent="0.2"/>
  <cols>
    <col min="1" max="1" width="40.140625" customWidth="1"/>
    <col min="2" max="2" width="40.7109375" customWidth="1"/>
    <col min="3" max="3" width="43.42578125" customWidth="1"/>
    <col min="4" max="4" width="36" customWidth="1"/>
    <col min="5" max="5" width="35.42578125" bestFit="1" customWidth="1"/>
    <col min="6" max="6" width="37.140625" bestFit="1" customWidth="1"/>
    <col min="7" max="7" width="45.85546875" customWidth="1"/>
    <col min="8" max="8" width="46.85546875" bestFit="1" customWidth="1"/>
    <col min="9" max="9" width="36" bestFit="1" customWidth="1"/>
    <col min="10" max="10" width="27.85546875" bestFit="1" customWidth="1"/>
    <col min="11" max="11" width="27.28515625" customWidth="1"/>
    <col min="12" max="12" width="22.140625" bestFit="1" customWidth="1"/>
    <col min="13" max="13" width="27.85546875" bestFit="1" customWidth="1"/>
    <col min="16" max="16" width="27.85546875" bestFit="1" customWidth="1"/>
  </cols>
  <sheetData>
    <row r="1" spans="1:16" s="5" customFormat="1" ht="15.75" thickBot="1" x14ac:dyDescent="0.3">
      <c r="A1"/>
      <c r="B1"/>
      <c r="C1" s="158"/>
      <c r="D1" s="159"/>
      <c r="E1"/>
      <c r="F1" s="128" t="s">
        <v>2</v>
      </c>
      <c r="G1" s="129">
        <f ca="1">COUNTA(INDEX(CountSheets,0))</f>
        <v>3</v>
      </c>
      <c r="I1" s="31"/>
    </row>
    <row r="2" spans="1:16" s="5" customFormat="1" ht="15.75" thickBot="1" x14ac:dyDescent="0.3">
      <c r="A2" s="126" t="s">
        <v>5</v>
      </c>
      <c r="B2" s="127"/>
      <c r="C2" s="158"/>
      <c r="D2" s="159"/>
      <c r="E2"/>
      <c r="F2" s="94" t="s">
        <v>326</v>
      </c>
      <c r="G2"/>
      <c r="I2" s="31"/>
    </row>
    <row r="3" spans="1:16" s="5" customFormat="1" ht="15.75" thickBot="1" x14ac:dyDescent="0.25">
      <c r="A3" s="126" t="s">
        <v>2</v>
      </c>
      <c r="B3" s="130"/>
      <c r="C3" s="160"/>
      <c r="D3" s="161"/>
      <c r="E3" s="160"/>
      <c r="F3" s="72"/>
      <c r="G3"/>
      <c r="L3" s="58"/>
      <c r="M3" s="7"/>
      <c r="N3" s="7"/>
      <c r="O3" s="7"/>
      <c r="P3" s="7"/>
    </row>
    <row r="4" spans="1:16" ht="15.75" thickBot="1" x14ac:dyDescent="0.25">
      <c r="B4" s="162" t="s">
        <v>305</v>
      </c>
      <c r="C4" s="102" t="s">
        <v>308</v>
      </c>
      <c r="D4" s="118" t="s">
        <v>404</v>
      </c>
      <c r="E4" s="89" t="s">
        <v>481</v>
      </c>
      <c r="F4" s="89" t="s">
        <v>307</v>
      </c>
      <c r="G4" s="162"/>
      <c r="H4" s="99"/>
      <c r="I4" s="90"/>
      <c r="L4" s="16"/>
      <c r="M4" s="2"/>
      <c r="N4" s="2"/>
      <c r="O4" s="2"/>
      <c r="P4" s="2"/>
    </row>
    <row r="5" spans="1:16" ht="15.75" thickBot="1" x14ac:dyDescent="0.3">
      <c r="A5" s="103" t="s">
        <v>310</v>
      </c>
      <c r="B5" s="107"/>
      <c r="C5" s="109"/>
      <c r="D5" s="82"/>
      <c r="E5" s="114"/>
      <c r="F5" s="82"/>
      <c r="G5" s="163"/>
      <c r="H5" s="96"/>
      <c r="I5" s="91"/>
      <c r="L5" s="16"/>
      <c r="M5" s="2"/>
      <c r="N5" s="2"/>
      <c r="O5" s="2"/>
      <c r="P5" s="2"/>
    </row>
    <row r="6" spans="1:16" ht="15.75" thickBot="1" x14ac:dyDescent="0.3">
      <c r="A6" s="104" t="s">
        <v>311</v>
      </c>
      <c r="B6" s="108" t="str">
        <f>IF(B5&lt;&gt;"", (B5+120),"")</f>
        <v/>
      </c>
      <c r="C6" s="85" t="str">
        <f>IF(C5&lt;&gt;"", (C5+60),"")</f>
        <v/>
      </c>
      <c r="D6" s="119" t="str">
        <f>IF(D5&lt;&gt;"", (D5+60),"")</f>
        <v/>
      </c>
      <c r="E6" s="115" t="str">
        <f>IF(E5&lt;&gt;"", (E5+30),"")</f>
        <v/>
      </c>
      <c r="F6" s="86" t="str">
        <f>IF(F5&lt;&gt;"", (F5+90),"")</f>
        <v/>
      </c>
      <c r="G6" s="164"/>
      <c r="H6" s="100"/>
      <c r="N6" s="2"/>
      <c r="O6" s="2"/>
      <c r="P6" s="2"/>
    </row>
    <row r="7" spans="1:16" ht="13.5" thickBot="1" x14ac:dyDescent="0.25">
      <c r="A7" s="165" t="s">
        <v>367</v>
      </c>
      <c r="B7" s="166" t="s">
        <v>363</v>
      </c>
      <c r="C7" s="112" t="s">
        <v>364</v>
      </c>
      <c r="D7" s="111" t="s">
        <v>365</v>
      </c>
      <c r="E7" s="123" t="s">
        <v>370</v>
      </c>
      <c r="F7" s="111" t="s">
        <v>90</v>
      </c>
      <c r="G7" s="44" t="s">
        <v>426</v>
      </c>
      <c r="N7" s="2"/>
      <c r="O7" s="2"/>
      <c r="P7" s="2"/>
    </row>
    <row r="8" spans="1:16" x14ac:dyDescent="0.2">
      <c r="A8" t="s">
        <v>371</v>
      </c>
      <c r="B8" t="s">
        <v>394</v>
      </c>
      <c r="C8" s="29" t="s">
        <v>58</v>
      </c>
      <c r="D8" s="40" t="s">
        <v>380</v>
      </c>
      <c r="E8" s="167" t="s">
        <v>238</v>
      </c>
      <c r="F8" s="39" t="s">
        <v>405</v>
      </c>
      <c r="G8" s="29" t="s">
        <v>427</v>
      </c>
      <c r="N8" s="2"/>
      <c r="O8" s="2"/>
      <c r="P8" s="2"/>
    </row>
    <row r="9" spans="1:16" x14ac:dyDescent="0.2">
      <c r="A9" t="s">
        <v>470</v>
      </c>
      <c r="B9" t="s">
        <v>356</v>
      </c>
      <c r="C9" s="29" t="s">
        <v>272</v>
      </c>
      <c r="D9" s="40" t="s">
        <v>347</v>
      </c>
      <c r="E9" s="135" t="s">
        <v>375</v>
      </c>
      <c r="F9" s="39" t="s">
        <v>406</v>
      </c>
      <c r="G9" s="29" t="s">
        <v>436</v>
      </c>
      <c r="N9" s="2"/>
      <c r="O9" s="2"/>
      <c r="P9" s="2"/>
    </row>
    <row r="10" spans="1:16" x14ac:dyDescent="0.2">
      <c r="A10" t="s">
        <v>374</v>
      </c>
      <c r="B10" t="s">
        <v>434</v>
      </c>
      <c r="C10" s="29" t="s">
        <v>63</v>
      </c>
      <c r="D10" s="40" t="s">
        <v>19</v>
      </c>
      <c r="E10" s="135">
        <v>1008</v>
      </c>
      <c r="F10" s="39" t="s">
        <v>407</v>
      </c>
      <c r="G10" s="29" t="s">
        <v>428</v>
      </c>
      <c r="N10" s="2"/>
      <c r="O10" s="2"/>
      <c r="P10" s="2"/>
    </row>
    <row r="11" spans="1:16" x14ac:dyDescent="0.2">
      <c r="A11" t="s">
        <v>376</v>
      </c>
      <c r="B11" t="s">
        <v>13</v>
      </c>
      <c r="C11" s="29" t="s">
        <v>403</v>
      </c>
      <c r="D11" s="40" t="s">
        <v>192</v>
      </c>
      <c r="E11" s="135">
        <v>1003</v>
      </c>
      <c r="F11" s="39" t="s">
        <v>408</v>
      </c>
      <c r="G11" s="135" t="s">
        <v>429</v>
      </c>
      <c r="N11" s="2"/>
      <c r="O11" s="2"/>
      <c r="P11" s="2"/>
    </row>
    <row r="12" spans="1:16" x14ac:dyDescent="0.2">
      <c r="A12" t="s">
        <v>377</v>
      </c>
      <c r="B12" s="120" t="s">
        <v>38</v>
      </c>
      <c r="C12" s="29" t="s">
        <v>346</v>
      </c>
      <c r="D12" s="40" t="s">
        <v>64</v>
      </c>
      <c r="E12" s="29" t="s">
        <v>395</v>
      </c>
      <c r="F12" s="39" t="s">
        <v>409</v>
      </c>
      <c r="G12" s="29" t="s">
        <v>430</v>
      </c>
      <c r="N12" s="2"/>
      <c r="O12" s="2"/>
      <c r="P12" s="2"/>
    </row>
    <row r="13" spans="1:16" x14ac:dyDescent="0.2">
      <c r="A13" t="s">
        <v>378</v>
      </c>
      <c r="B13" t="s">
        <v>56</v>
      </c>
      <c r="C13" s="29" t="s">
        <v>61</v>
      </c>
      <c r="D13" s="40" t="s">
        <v>345</v>
      </c>
      <c r="E13" s="29" t="s">
        <v>400</v>
      </c>
      <c r="F13" s="39" t="s">
        <v>410</v>
      </c>
      <c r="G13" s="135" t="s">
        <v>431</v>
      </c>
      <c r="N13" s="2"/>
      <c r="O13" s="2"/>
    </row>
    <row r="14" spans="1:16" x14ac:dyDescent="0.2">
      <c r="A14" t="s">
        <v>342</v>
      </c>
      <c r="B14" t="s">
        <v>57</v>
      </c>
      <c r="C14" s="29" t="s">
        <v>89</v>
      </c>
      <c r="D14" s="40" t="s">
        <v>78</v>
      </c>
      <c r="E14" s="29" t="s">
        <v>401</v>
      </c>
      <c r="F14" s="39" t="s">
        <v>423</v>
      </c>
      <c r="G14" s="135" t="s">
        <v>432</v>
      </c>
      <c r="N14" s="2"/>
      <c r="O14" s="2"/>
    </row>
    <row r="15" spans="1:16" x14ac:dyDescent="0.2">
      <c r="A15" t="s">
        <v>343</v>
      </c>
      <c r="B15" t="s">
        <v>60</v>
      </c>
      <c r="C15" s="29" t="s">
        <v>247</v>
      </c>
      <c r="D15" s="24" t="s">
        <v>276</v>
      </c>
      <c r="E15" s="29" t="s">
        <v>399</v>
      </c>
      <c r="F15" s="39" t="s">
        <v>411</v>
      </c>
      <c r="G15" s="29" t="s">
        <v>433</v>
      </c>
      <c r="N15" s="2"/>
      <c r="O15" s="2"/>
    </row>
    <row r="16" spans="1:16" x14ac:dyDescent="0.2">
      <c r="A16" t="s">
        <v>379</v>
      </c>
      <c r="B16" t="s">
        <v>14</v>
      </c>
      <c r="C16" s="29" t="s">
        <v>248</v>
      </c>
      <c r="D16" s="40" t="s">
        <v>368</v>
      </c>
      <c r="E16" s="29"/>
      <c r="F16" s="39" t="s">
        <v>491</v>
      </c>
      <c r="G16" s="29" t="s">
        <v>437</v>
      </c>
      <c r="N16" s="2"/>
      <c r="O16" s="2"/>
    </row>
    <row r="17" spans="1:15" x14ac:dyDescent="0.2">
      <c r="A17" t="s">
        <v>194</v>
      </c>
      <c r="B17" t="s">
        <v>129</v>
      </c>
      <c r="C17" s="29" t="s">
        <v>79</v>
      </c>
      <c r="D17" s="40" t="s">
        <v>372</v>
      </c>
      <c r="E17" s="29" t="s">
        <v>396</v>
      </c>
      <c r="F17" s="39" t="s">
        <v>412</v>
      </c>
      <c r="G17" s="29" t="s">
        <v>438</v>
      </c>
      <c r="N17" s="2"/>
      <c r="O17" s="2"/>
    </row>
    <row r="18" spans="1:15" ht="13.5" thickBot="1" x14ac:dyDescent="0.25">
      <c r="A18" t="s">
        <v>382</v>
      </c>
      <c r="B18" t="s">
        <v>182</v>
      </c>
      <c r="C18" s="29" t="s">
        <v>369</v>
      </c>
      <c r="D18" s="40"/>
      <c r="E18" s="29" t="s">
        <v>397</v>
      </c>
      <c r="F18" s="39" t="s">
        <v>413</v>
      </c>
      <c r="G18" s="113" t="s">
        <v>439</v>
      </c>
      <c r="N18" s="2"/>
      <c r="O18" s="2"/>
    </row>
    <row r="19" spans="1:15" x14ac:dyDescent="0.2">
      <c r="A19" t="s">
        <v>383</v>
      </c>
      <c r="B19" s="120" t="s">
        <v>55</v>
      </c>
      <c r="C19" s="29" t="s">
        <v>388</v>
      </c>
      <c r="D19" s="40"/>
      <c r="E19" s="29" t="s">
        <v>398</v>
      </c>
      <c r="F19" s="39" t="s">
        <v>414</v>
      </c>
      <c r="G19" s="29" t="s">
        <v>463</v>
      </c>
      <c r="N19" s="2"/>
      <c r="O19" s="2"/>
    </row>
    <row r="20" spans="1:15" x14ac:dyDescent="0.2">
      <c r="A20" t="s">
        <v>384</v>
      </c>
      <c r="B20" t="s">
        <v>283</v>
      </c>
      <c r="C20" s="29" t="s">
        <v>373</v>
      </c>
      <c r="D20" s="40"/>
      <c r="E20" s="29"/>
      <c r="F20" s="39" t="s">
        <v>415</v>
      </c>
      <c r="G20" s="29"/>
      <c r="N20" s="2"/>
      <c r="O20" s="2"/>
    </row>
    <row r="21" spans="1:15" ht="13.5" thickBot="1" x14ac:dyDescent="0.25">
      <c r="A21" t="s">
        <v>340</v>
      </c>
      <c r="B21" s="136" t="s">
        <v>338</v>
      </c>
      <c r="C21" s="113" t="s">
        <v>389</v>
      </c>
      <c r="D21" s="40"/>
      <c r="E21" s="168"/>
      <c r="F21" s="39" t="s">
        <v>416</v>
      </c>
      <c r="G21" s="113"/>
      <c r="N21" s="2"/>
      <c r="O21" s="2"/>
    </row>
    <row r="22" spans="1:15" ht="13.5" thickBot="1" x14ac:dyDescent="0.25">
      <c r="A22" t="s">
        <v>385</v>
      </c>
      <c r="B22" t="s">
        <v>8</v>
      </c>
      <c r="C22" s="29" t="s">
        <v>390</v>
      </c>
      <c r="D22" s="45" t="s">
        <v>465</v>
      </c>
      <c r="E22" s="44" t="s">
        <v>366</v>
      </c>
      <c r="F22" s="29" t="s">
        <v>417</v>
      </c>
      <c r="G22" s="29"/>
      <c r="N22" s="2"/>
      <c r="O22" s="2"/>
    </row>
    <row r="23" spans="1:15" x14ac:dyDescent="0.2">
      <c r="A23" t="s">
        <v>386</v>
      </c>
      <c r="B23" t="s">
        <v>7</v>
      </c>
      <c r="C23" s="29" t="s">
        <v>425</v>
      </c>
      <c r="D23" s="40" t="s">
        <v>464</v>
      </c>
      <c r="E23" s="40" t="s">
        <v>25</v>
      </c>
      <c r="F23" s="29" t="s">
        <v>418</v>
      </c>
      <c r="G23" s="135"/>
      <c r="N23" s="2"/>
      <c r="O23" s="2"/>
    </row>
    <row r="24" spans="1:15" x14ac:dyDescent="0.2">
      <c r="A24" t="s">
        <v>391</v>
      </c>
      <c r="B24" t="s">
        <v>6</v>
      </c>
      <c r="C24" s="29" t="s">
        <v>471</v>
      </c>
      <c r="D24" s="40" t="s">
        <v>466</v>
      </c>
      <c r="E24" s="40" t="s">
        <v>26</v>
      </c>
      <c r="F24" s="29" t="s">
        <v>435</v>
      </c>
      <c r="G24" s="29" t="s">
        <v>446</v>
      </c>
      <c r="N24" s="2"/>
      <c r="O24" s="2"/>
    </row>
    <row r="25" spans="1:15" x14ac:dyDescent="0.2">
      <c r="A25" t="s">
        <v>209</v>
      </c>
      <c r="B25" t="s">
        <v>15</v>
      </c>
      <c r="C25" s="29" t="s">
        <v>472</v>
      </c>
      <c r="D25" s="40" t="s">
        <v>483</v>
      </c>
      <c r="E25" s="40" t="s">
        <v>321</v>
      </c>
      <c r="F25" s="29" t="s">
        <v>468</v>
      </c>
      <c r="G25" s="29" t="s">
        <v>440</v>
      </c>
      <c r="N25" s="2"/>
      <c r="O25" s="2"/>
    </row>
    <row r="26" spans="1:15" ht="13.5" thickBot="1" x14ac:dyDescent="0.25">
      <c r="A26" t="s">
        <v>216</v>
      </c>
      <c r="B26" t="s">
        <v>16</v>
      </c>
      <c r="C26" s="29" t="s">
        <v>473</v>
      </c>
      <c r="D26" s="40"/>
      <c r="E26" s="40" t="s">
        <v>27</v>
      </c>
      <c r="F26" s="29" t="s">
        <v>469</v>
      </c>
      <c r="G26" s="113" t="s">
        <v>441</v>
      </c>
      <c r="N26" s="2"/>
      <c r="O26" s="2"/>
    </row>
    <row r="27" spans="1:15" ht="13.5" thickBot="1" x14ac:dyDescent="0.25">
      <c r="B27" t="s">
        <v>17</v>
      </c>
      <c r="C27" s="45" t="s">
        <v>83</v>
      </c>
      <c r="D27" s="113"/>
      <c r="E27" s="40" t="s">
        <v>28</v>
      </c>
      <c r="F27" s="29"/>
      <c r="G27" s="29" t="s">
        <v>442</v>
      </c>
      <c r="N27" s="2"/>
      <c r="O27" s="2"/>
    </row>
    <row r="28" spans="1:15" s="5" customFormat="1" ht="13.5" thickBot="1" x14ac:dyDescent="0.25">
      <c r="A28"/>
      <c r="B28" t="s">
        <v>341</v>
      </c>
      <c r="C28" s="29" t="s">
        <v>29</v>
      </c>
      <c r="D28" s="44" t="s">
        <v>474</v>
      </c>
      <c r="E28" s="40" t="s">
        <v>30</v>
      </c>
      <c r="F28" s="29"/>
      <c r="G28" s="135" t="s">
        <v>443</v>
      </c>
      <c r="N28" s="38"/>
      <c r="O28" s="38"/>
    </row>
    <row r="29" spans="1:15" s="5" customFormat="1" ht="13.5" thickBot="1" x14ac:dyDescent="0.25">
      <c r="A29"/>
      <c r="B29" t="s">
        <v>344</v>
      </c>
      <c r="C29" s="29" t="s">
        <v>275</v>
      </c>
      <c r="D29" t="s">
        <v>476</v>
      </c>
      <c r="E29" s="40" t="s">
        <v>190</v>
      </c>
      <c r="F29" s="29"/>
      <c r="G29" s="169" t="s">
        <v>444</v>
      </c>
      <c r="N29" s="38"/>
      <c r="O29" s="38"/>
    </row>
    <row r="30" spans="1:15" s="5" customFormat="1" ht="13.5" thickBot="1" x14ac:dyDescent="0.25">
      <c r="A30" s="45" t="s">
        <v>121</v>
      </c>
      <c r="B30" t="s">
        <v>180</v>
      </c>
      <c r="C30" s="29" t="s">
        <v>360</v>
      </c>
      <c r="D30" t="s">
        <v>475</v>
      </c>
      <c r="E30" s="144" t="s">
        <v>32</v>
      </c>
      <c r="F30" s="135"/>
      <c r="G30" s="135" t="s">
        <v>445</v>
      </c>
      <c r="N30" s="38"/>
      <c r="O30" s="38"/>
    </row>
    <row r="31" spans="1:15" s="5" customFormat="1" x14ac:dyDescent="0.2">
      <c r="A31" s="132" t="s">
        <v>10</v>
      </c>
      <c r="B31" t="s">
        <v>183</v>
      </c>
      <c r="C31" s="29" t="s">
        <v>34</v>
      </c>
      <c r="D31" s="40" t="s">
        <v>477</v>
      </c>
      <c r="E31" s="40" t="s">
        <v>33</v>
      </c>
      <c r="F31" s="29" t="s">
        <v>424</v>
      </c>
      <c r="G31" s="29" t="s">
        <v>447</v>
      </c>
      <c r="N31" s="38"/>
      <c r="O31" s="38"/>
    </row>
    <row r="32" spans="1:15" s="5" customFormat="1" ht="13.5" thickBot="1" x14ac:dyDescent="0.25">
      <c r="A32" s="135" t="s">
        <v>11</v>
      </c>
      <c r="B32" t="s">
        <v>387</v>
      </c>
      <c r="C32" s="29" t="s">
        <v>36</v>
      </c>
      <c r="D32" s="40" t="s">
        <v>478</v>
      </c>
      <c r="E32" s="40" t="s">
        <v>278</v>
      </c>
      <c r="F32" s="29" t="s">
        <v>419</v>
      </c>
      <c r="G32" s="113" t="s">
        <v>448</v>
      </c>
      <c r="N32" s="38"/>
      <c r="O32" s="38"/>
    </row>
    <row r="33" spans="1:16" s="5" customFormat="1" x14ac:dyDescent="0.2">
      <c r="A33" s="135" t="s">
        <v>12</v>
      </c>
      <c r="B33" t="s">
        <v>393</v>
      </c>
      <c r="C33" s="29" t="s">
        <v>37</v>
      </c>
      <c r="D33" s="40" t="s">
        <v>479</v>
      </c>
      <c r="E33" s="40" t="s">
        <v>191</v>
      </c>
      <c r="F33" s="29" t="s">
        <v>420</v>
      </c>
      <c r="G33" s="135" t="s">
        <v>449</v>
      </c>
      <c r="N33" s="38"/>
      <c r="O33" s="38"/>
    </row>
    <row r="34" spans="1:16" s="5" customFormat="1" x14ac:dyDescent="0.2">
      <c r="A34" s="135" t="s">
        <v>52</v>
      </c>
      <c r="B34" t="s">
        <v>467</v>
      </c>
      <c r="C34" s="29" t="s">
        <v>39</v>
      </c>
      <c r="D34" s="40" t="s">
        <v>480</v>
      </c>
      <c r="E34" s="40" t="s">
        <v>292</v>
      </c>
      <c r="F34" s="29" t="s">
        <v>421</v>
      </c>
      <c r="G34" s="135" t="s">
        <v>450</v>
      </c>
      <c r="N34" s="38"/>
      <c r="O34" s="38"/>
    </row>
    <row r="35" spans="1:16" s="5" customFormat="1" ht="13.5" thickBot="1" x14ac:dyDescent="0.25">
      <c r="A35" s="135" t="s">
        <v>53</v>
      </c>
      <c r="B35"/>
      <c r="C35" s="113" t="s">
        <v>40</v>
      </c>
      <c r="D35" s="40"/>
      <c r="E35" s="40" t="s">
        <v>294</v>
      </c>
      <c r="F35" s="113" t="s">
        <v>422</v>
      </c>
      <c r="G35" s="135" t="s">
        <v>451</v>
      </c>
      <c r="N35" s="38"/>
      <c r="O35" s="38"/>
    </row>
    <row r="36" spans="1:16" s="5" customFormat="1" ht="13.5" thickBot="1" x14ac:dyDescent="0.25">
      <c r="A36" s="189" t="s">
        <v>381</v>
      </c>
      <c r="B36" s="190"/>
      <c r="C36" s="125"/>
      <c r="D36" s="170" t="s">
        <v>42</v>
      </c>
      <c r="E36" s="201"/>
      <c r="F36" s="201"/>
      <c r="G36" s="113" t="s">
        <v>452</v>
      </c>
      <c r="H36" s="9"/>
      <c r="N36" s="38"/>
      <c r="O36" s="38"/>
    </row>
    <row r="37" spans="1:16" s="5" customFormat="1" ht="13.5" thickBot="1" x14ac:dyDescent="0.25">
      <c r="A37" s="199"/>
      <c r="B37" s="200"/>
      <c r="C37" s="120"/>
      <c r="D37" s="171" t="s">
        <v>43</v>
      </c>
      <c r="E37" s="202"/>
      <c r="F37" s="203"/>
      <c r="G37" s="29" t="s">
        <v>456</v>
      </c>
      <c r="N37" s="38"/>
      <c r="O37" s="38"/>
    </row>
    <row r="38" spans="1:16" ht="13.5" thickBot="1" x14ac:dyDescent="0.25">
      <c r="A38" s="199"/>
      <c r="B38" s="200"/>
      <c r="C38" s="120"/>
      <c r="D38" s="171" t="s">
        <v>44</v>
      </c>
      <c r="E38" s="202"/>
      <c r="F38" s="203"/>
      <c r="G38" s="135" t="s">
        <v>453</v>
      </c>
      <c r="N38" s="2"/>
      <c r="O38" s="2"/>
    </row>
    <row r="39" spans="1:16" s="5" customFormat="1" ht="13.5" thickBot="1" x14ac:dyDescent="0.25">
      <c r="A39" s="199"/>
      <c r="B39" s="200"/>
      <c r="C39" s="120"/>
      <c r="D39" s="171" t="s">
        <v>392</v>
      </c>
      <c r="E39" s="202"/>
      <c r="F39" s="203"/>
      <c r="G39" s="29" t="s">
        <v>454</v>
      </c>
      <c r="N39" s="38"/>
      <c r="O39" s="38"/>
    </row>
    <row r="40" spans="1:16" s="5" customFormat="1" ht="13.5" thickBot="1" x14ac:dyDescent="0.25">
      <c r="A40" s="199"/>
      <c r="B40" s="200"/>
      <c r="C40" s="120"/>
      <c r="D40" s="172" t="s">
        <v>46</v>
      </c>
      <c r="E40" s="204"/>
      <c r="F40" s="205"/>
      <c r="G40" s="113" t="s">
        <v>455</v>
      </c>
      <c r="N40" s="38"/>
      <c r="O40" s="38"/>
      <c r="P40" s="46"/>
    </row>
    <row r="41" spans="1:16" s="5" customFormat="1" ht="13.5" thickBot="1" x14ac:dyDescent="0.25">
      <c r="A41" s="199"/>
      <c r="B41" s="200"/>
      <c r="C41" s="120"/>
      <c r="D41"/>
      <c r="E41"/>
      <c r="F41"/>
      <c r="G41" s="127" t="s">
        <v>457</v>
      </c>
      <c r="N41" s="38"/>
      <c r="O41" s="38"/>
      <c r="P41" s="46"/>
    </row>
    <row r="42" spans="1:16" s="5" customFormat="1" ht="13.5" thickBot="1" x14ac:dyDescent="0.25">
      <c r="A42" s="199"/>
      <c r="B42" s="200"/>
      <c r="C42" s="120"/>
      <c r="D42"/>
      <c r="E42"/>
      <c r="F42"/>
      <c r="G42" s="127" t="s">
        <v>205</v>
      </c>
      <c r="N42" s="38"/>
      <c r="O42" s="38"/>
      <c r="P42" s="28"/>
    </row>
    <row r="43" spans="1:16" s="5" customFormat="1" ht="13.5" thickBot="1" x14ac:dyDescent="0.25">
      <c r="A43" s="199"/>
      <c r="B43" s="200"/>
      <c r="C43" s="120"/>
      <c r="D43" s="153" t="s">
        <v>115</v>
      </c>
      <c r="E43"/>
      <c r="F43"/>
      <c r="G43" s="132" t="s">
        <v>458</v>
      </c>
      <c r="N43" s="38"/>
      <c r="O43" s="38"/>
      <c r="P43" s="28"/>
    </row>
    <row r="44" spans="1:16" s="5" customFormat="1" ht="15.75" thickBot="1" x14ac:dyDescent="0.3">
      <c r="A44" s="206"/>
      <c r="B44" s="207"/>
      <c r="C44" s="120"/>
      <c r="D44" s="125" t="s">
        <v>116</v>
      </c>
      <c r="E44" s="125" t="s">
        <v>117</v>
      </c>
      <c r="F44" s="125" t="s">
        <v>402</v>
      </c>
      <c r="G44" s="29" t="s">
        <v>459</v>
      </c>
      <c r="N44" s="38"/>
      <c r="O44" s="38"/>
      <c r="P44" s="28"/>
    </row>
    <row r="45" spans="1:16" s="5" customFormat="1" ht="14.25" customHeight="1" thickBot="1" x14ac:dyDescent="0.25">
      <c r="A45" s="196"/>
      <c r="B45" s="197"/>
      <c r="C45" s="120"/>
      <c r="D45" s="72"/>
      <c r="E45" s="72"/>
      <c r="F45" s="72"/>
      <c r="G45" s="169" t="s">
        <v>460</v>
      </c>
      <c r="N45" s="38"/>
      <c r="O45" s="38"/>
      <c r="P45" s="28"/>
    </row>
    <row r="46" spans="1:16" s="5" customFormat="1" ht="13.5" thickBot="1" x14ac:dyDescent="0.25">
      <c r="A46" s="196"/>
      <c r="B46" s="197"/>
      <c r="C46" s="120"/>
      <c r="D46" s="72"/>
      <c r="E46" s="72"/>
      <c r="F46" s="72"/>
      <c r="G46" s="167" t="s">
        <v>461</v>
      </c>
      <c r="N46" s="38"/>
      <c r="O46" s="38"/>
      <c r="P46" s="38"/>
    </row>
    <row r="47" spans="1:16" ht="13.5" thickBot="1" x14ac:dyDescent="0.25">
      <c r="A47" s="196"/>
      <c r="B47" s="197"/>
      <c r="C47" s="120"/>
      <c r="D47" s="120"/>
      <c r="E47" s="72"/>
      <c r="F47" s="72"/>
      <c r="G47" s="135" t="s">
        <v>462</v>
      </c>
      <c r="N47" s="2"/>
      <c r="O47" s="2"/>
      <c r="P47" s="2"/>
    </row>
    <row r="48" spans="1:16" ht="13.5" thickBot="1" x14ac:dyDescent="0.25">
      <c r="A48" s="196"/>
      <c r="B48" s="197"/>
      <c r="C48" s="120"/>
      <c r="D48" s="120"/>
      <c r="E48" s="72"/>
      <c r="F48" s="72"/>
      <c r="G48" s="169" t="s">
        <v>482</v>
      </c>
      <c r="N48" s="2"/>
      <c r="O48" s="2"/>
      <c r="P48" s="2"/>
    </row>
    <row r="49" spans="1:16" ht="15.75" thickBot="1" x14ac:dyDescent="0.25">
      <c r="A49" s="196"/>
      <c r="B49" s="197"/>
      <c r="C49" s="106"/>
      <c r="D49" s="106"/>
      <c r="E49" s="122"/>
      <c r="F49" s="121"/>
      <c r="G49" s="116"/>
      <c r="H49" s="52"/>
      <c r="N49" s="2"/>
      <c r="O49" s="2"/>
      <c r="P49" s="2"/>
    </row>
    <row r="50" spans="1:16" ht="13.5" thickBot="1" x14ac:dyDescent="0.25">
      <c r="A50" s="196"/>
      <c r="B50" s="197"/>
      <c r="C50" s="106"/>
      <c r="D50" s="106"/>
      <c r="E50" s="122"/>
      <c r="F50" s="121"/>
      <c r="G50" s="117"/>
      <c r="N50" s="2"/>
      <c r="O50" s="2"/>
      <c r="P50" s="2"/>
    </row>
    <row r="51" spans="1:16" ht="13.5" thickBot="1" x14ac:dyDescent="0.25">
      <c r="A51" s="199"/>
      <c r="B51" s="200"/>
      <c r="C51" s="106"/>
      <c r="D51" s="106"/>
      <c r="F51" s="66"/>
      <c r="G51" s="117"/>
      <c r="H51" s="66"/>
      <c r="N51" s="2"/>
      <c r="O51" s="2"/>
      <c r="P51" s="2"/>
    </row>
    <row r="52" spans="1:16" ht="13.5" thickBot="1" x14ac:dyDescent="0.25">
      <c r="A52" s="196"/>
      <c r="B52" s="197"/>
      <c r="C52" s="106"/>
      <c r="D52" s="106"/>
      <c r="F52" s="66"/>
      <c r="G52" s="117"/>
      <c r="H52" s="66"/>
      <c r="N52" s="2"/>
      <c r="O52" s="2"/>
      <c r="P52" s="2"/>
    </row>
    <row r="53" spans="1:16" ht="13.5" thickBot="1" x14ac:dyDescent="0.25">
      <c r="A53" s="196"/>
      <c r="B53" s="197"/>
      <c r="C53" s="106"/>
      <c r="D53" s="106"/>
      <c r="F53" s="66"/>
      <c r="G53" s="67"/>
      <c r="H53" s="66"/>
      <c r="N53" s="2"/>
      <c r="O53" s="2"/>
      <c r="P53" s="2"/>
    </row>
    <row r="54" spans="1:16" ht="13.5" thickBot="1" x14ac:dyDescent="0.25">
      <c r="A54" s="196"/>
      <c r="B54" s="197"/>
      <c r="C54" s="23"/>
      <c r="D54" s="106"/>
      <c r="F54" s="66"/>
      <c r="G54" s="67"/>
      <c r="H54" s="66"/>
    </row>
    <row r="55" spans="1:16" ht="13.5" thickBot="1" x14ac:dyDescent="0.25">
      <c r="A55" s="196"/>
      <c r="B55" s="197"/>
      <c r="C55" s="23"/>
      <c r="D55" s="106"/>
      <c r="F55" s="66"/>
      <c r="G55" s="68"/>
      <c r="H55" s="66"/>
    </row>
    <row r="56" spans="1:16" ht="13.5" thickBot="1" x14ac:dyDescent="0.25">
      <c r="A56" s="196"/>
      <c r="B56" s="197"/>
      <c r="C56" s="23"/>
      <c r="D56" s="106"/>
      <c r="F56" s="26"/>
    </row>
    <row r="57" spans="1:16" ht="15.75" thickBot="1" x14ac:dyDescent="0.3">
      <c r="A57" s="199"/>
      <c r="B57" s="200"/>
      <c r="C57" s="120"/>
      <c r="D57" s="106"/>
      <c r="E57" s="11"/>
      <c r="F57" s="11"/>
      <c r="G57" s="14"/>
      <c r="H57" s="15"/>
    </row>
    <row r="58" spans="1:16" ht="15.75" thickBot="1" x14ac:dyDescent="0.3">
      <c r="A58" s="196"/>
      <c r="B58" s="197"/>
      <c r="C58" s="120"/>
      <c r="D58" s="106"/>
      <c r="E58" s="11"/>
      <c r="F58" s="11"/>
      <c r="G58" s="14" t="s">
        <v>45</v>
      </c>
      <c r="H58" s="15" t="s">
        <v>46</v>
      </c>
    </row>
    <row r="59" spans="1:16" ht="13.5" thickBot="1" x14ac:dyDescent="0.25">
      <c r="A59" s="196"/>
      <c r="B59" s="197"/>
      <c r="C59" s="120"/>
      <c r="D59" s="106"/>
      <c r="E59" s="72"/>
      <c r="F59" s="72"/>
      <c r="G59" s="72"/>
      <c r="H59" s="72"/>
    </row>
    <row r="60" spans="1:16" ht="13.5" thickBot="1" x14ac:dyDescent="0.25">
      <c r="A60" s="196"/>
      <c r="B60" s="197"/>
      <c r="C60" s="120"/>
      <c r="D60" s="106"/>
      <c r="E60" s="64"/>
      <c r="F60" s="64"/>
      <c r="G60" s="64"/>
      <c r="H60" s="18"/>
    </row>
    <row r="61" spans="1:16" ht="13.5" thickBot="1" x14ac:dyDescent="0.25">
      <c r="A61" s="196"/>
      <c r="B61" s="197"/>
      <c r="C61" s="120"/>
      <c r="D61" s="106"/>
      <c r="E61" s="74"/>
      <c r="F61" s="78"/>
      <c r="G61" s="78"/>
      <c r="H61" s="18"/>
    </row>
    <row r="62" spans="1:16" ht="13.5" thickBot="1" x14ac:dyDescent="0.25">
      <c r="A62" s="196"/>
      <c r="B62" s="197"/>
      <c r="C62" s="120"/>
      <c r="D62" s="106"/>
      <c r="E62" s="12"/>
      <c r="F62" s="19"/>
      <c r="G62" s="22"/>
      <c r="H62" s="22"/>
    </row>
    <row r="63" spans="1:16" ht="13.5" thickBot="1" x14ac:dyDescent="0.25">
      <c r="A63" s="199"/>
      <c r="B63" s="200"/>
      <c r="D63" s="106"/>
      <c r="G63" s="18"/>
      <c r="H63" s="18"/>
    </row>
    <row r="64" spans="1:16" ht="13.5" thickBot="1" x14ac:dyDescent="0.25">
      <c r="A64" s="196"/>
      <c r="B64" s="197"/>
      <c r="D64" s="7"/>
      <c r="E64" s="5"/>
      <c r="F64" s="5"/>
      <c r="G64" s="21"/>
      <c r="H64" s="21"/>
    </row>
    <row r="65" spans="1:8" x14ac:dyDescent="0.2">
      <c r="A65" s="9"/>
      <c r="B65" s="9"/>
      <c r="D65" s="106"/>
      <c r="E65" s="5"/>
      <c r="F65" s="5"/>
      <c r="G65" s="21"/>
      <c r="H65" s="21"/>
    </row>
    <row r="66" spans="1:8" x14ac:dyDescent="0.2">
      <c r="B66" s="7"/>
      <c r="D66" s="7"/>
      <c r="E66" s="5"/>
      <c r="F66" s="5"/>
      <c r="G66" s="21"/>
      <c r="H66" s="21"/>
    </row>
    <row r="67" spans="1:8" x14ac:dyDescent="0.2">
      <c r="B67" s="7"/>
      <c r="D67" s="106"/>
      <c r="E67" s="5"/>
      <c r="F67" s="5"/>
      <c r="G67" s="21"/>
      <c r="H67" s="21"/>
    </row>
    <row r="68" spans="1:8" x14ac:dyDescent="0.2">
      <c r="B68" s="7"/>
      <c r="D68" s="106"/>
      <c r="E68" s="5"/>
      <c r="F68" s="5"/>
      <c r="G68" s="21"/>
      <c r="H68" s="21"/>
    </row>
    <row r="69" spans="1:8" x14ac:dyDescent="0.2">
      <c r="B69" s="7"/>
      <c r="D69" s="5"/>
      <c r="E69" s="5"/>
      <c r="F69" s="5"/>
      <c r="G69" s="21"/>
      <c r="H69" s="21"/>
    </row>
    <row r="70" spans="1:8" x14ac:dyDescent="0.2">
      <c r="B70" s="7"/>
      <c r="D70" s="5"/>
      <c r="E70" s="5"/>
      <c r="F70" s="5"/>
      <c r="G70" s="21"/>
      <c r="H70" s="21"/>
    </row>
    <row r="71" spans="1:8" x14ac:dyDescent="0.2">
      <c r="B71" s="7"/>
      <c r="C71" s="7"/>
      <c r="D71" s="5"/>
      <c r="E71" s="5"/>
      <c r="F71" s="5"/>
      <c r="G71" s="21"/>
      <c r="H71" s="21"/>
    </row>
    <row r="72" spans="1:8" x14ac:dyDescent="0.2">
      <c r="B72" s="7"/>
      <c r="C72" s="12"/>
      <c r="D72" s="5"/>
      <c r="E72" s="5"/>
      <c r="F72" s="5"/>
      <c r="G72" s="21"/>
      <c r="H72" s="21"/>
    </row>
    <row r="73" spans="1:8" x14ac:dyDescent="0.2">
      <c r="B73" s="7"/>
      <c r="C73" s="7"/>
      <c r="D73" s="5"/>
      <c r="E73" s="5"/>
      <c r="F73" s="5"/>
      <c r="G73" s="21"/>
      <c r="H73" s="21"/>
    </row>
    <row r="74" spans="1:8" x14ac:dyDescent="0.2">
      <c r="B74" s="7"/>
      <c r="C74" s="7"/>
      <c r="D74" s="5"/>
      <c r="E74" s="5"/>
      <c r="F74" s="5"/>
      <c r="G74" s="21"/>
      <c r="H74" s="21"/>
    </row>
    <row r="75" spans="1:8" x14ac:dyDescent="0.2">
      <c r="B75" s="7"/>
      <c r="C75" s="7"/>
      <c r="D75" s="5"/>
      <c r="E75" s="5"/>
      <c r="F75" s="5"/>
      <c r="G75" s="21"/>
      <c r="H75" s="21"/>
    </row>
    <row r="76" spans="1:8" x14ac:dyDescent="0.2">
      <c r="B76" s="7"/>
      <c r="C76" s="7"/>
      <c r="D76" s="5"/>
      <c r="E76" s="5"/>
      <c r="F76" s="5"/>
      <c r="G76" s="21"/>
      <c r="H76" s="21"/>
    </row>
    <row r="77" spans="1:8" x14ac:dyDescent="0.2">
      <c r="B77" s="9"/>
      <c r="C77" s="12"/>
      <c r="D77" s="5"/>
      <c r="E77" s="5"/>
      <c r="F77" s="5"/>
      <c r="G77" s="21"/>
      <c r="H77" s="21"/>
    </row>
    <row r="78" spans="1:8" x14ac:dyDescent="0.2">
      <c r="B78" s="110"/>
      <c r="C78" s="110"/>
      <c r="D78" s="5"/>
      <c r="E78" s="5"/>
      <c r="F78" s="5"/>
      <c r="G78" s="21"/>
      <c r="H78" s="21"/>
    </row>
    <row r="79" spans="1:8" x14ac:dyDescent="0.2">
      <c r="B79" s="9"/>
      <c r="C79" s="7"/>
      <c r="D79" s="5"/>
      <c r="E79" s="5"/>
      <c r="F79" s="5"/>
      <c r="G79" s="21"/>
      <c r="H79" s="21"/>
    </row>
    <row r="80" spans="1:8" x14ac:dyDescent="0.2">
      <c r="B80" s="9"/>
      <c r="C80" s="7"/>
      <c r="D80" s="5"/>
      <c r="E80" s="5"/>
      <c r="F80" s="5"/>
      <c r="G80" s="21"/>
      <c r="H80" s="21"/>
    </row>
    <row r="81" spans="1:13" x14ac:dyDescent="0.2">
      <c r="B81" s="9"/>
      <c r="C81" s="7"/>
      <c r="D81" s="5"/>
      <c r="E81" s="5"/>
      <c r="F81" s="5"/>
      <c r="G81" s="21"/>
      <c r="H81" s="21"/>
    </row>
    <row r="82" spans="1:13" x14ac:dyDescent="0.2">
      <c r="B82" s="9"/>
      <c r="C82" s="7"/>
      <c r="D82" s="5"/>
      <c r="E82" s="5"/>
      <c r="F82" s="5"/>
      <c r="G82" s="21"/>
      <c r="H82" s="21"/>
    </row>
    <row r="83" spans="1:13" x14ac:dyDescent="0.2">
      <c r="B83" s="9"/>
      <c r="C83" s="5"/>
      <c r="D83" s="5"/>
      <c r="E83" s="5"/>
      <c r="F83" s="5"/>
      <c r="G83" s="21"/>
      <c r="H83" s="21"/>
    </row>
    <row r="84" spans="1:13" x14ac:dyDescent="0.2">
      <c r="B84" s="9"/>
      <c r="C84" s="5"/>
      <c r="D84" s="5"/>
      <c r="E84" s="5"/>
      <c r="F84" s="5"/>
      <c r="G84" s="21"/>
      <c r="H84" s="21"/>
    </row>
    <row r="85" spans="1:13" x14ac:dyDescent="0.2">
      <c r="B85" s="9"/>
      <c r="C85" s="5"/>
      <c r="D85" s="5"/>
      <c r="E85" s="5"/>
      <c r="F85" s="5"/>
      <c r="G85" s="21"/>
      <c r="H85" s="21"/>
    </row>
    <row r="86" spans="1:13" x14ac:dyDescent="0.2">
      <c r="B86" s="7"/>
      <c r="C86" s="5"/>
      <c r="D86" s="5"/>
      <c r="E86" s="5"/>
      <c r="F86" s="5"/>
      <c r="G86" s="21"/>
      <c r="H86" s="21"/>
    </row>
    <row r="87" spans="1:13" x14ac:dyDescent="0.2">
      <c r="B87" s="7"/>
      <c r="D87" s="5"/>
      <c r="E87" s="5"/>
      <c r="F87" s="5"/>
      <c r="G87" s="21"/>
      <c r="H87" s="21"/>
    </row>
    <row r="88" spans="1:13" x14ac:dyDescent="0.2">
      <c r="A88" s="7"/>
      <c r="B88" s="7"/>
      <c r="C88" s="5"/>
      <c r="D88" s="5"/>
      <c r="E88" s="5"/>
      <c r="F88" s="5"/>
      <c r="G88" s="21"/>
      <c r="H88" s="21"/>
    </row>
    <row r="89" spans="1:13" x14ac:dyDescent="0.2">
      <c r="A89" s="7"/>
      <c r="B89" s="7"/>
      <c r="C89" s="5"/>
      <c r="D89" s="5"/>
      <c r="E89" s="5"/>
      <c r="F89" s="5"/>
      <c r="G89" s="21"/>
      <c r="H89" s="21"/>
    </row>
    <row r="90" spans="1:13" x14ac:dyDescent="0.2">
      <c r="A90" s="7"/>
      <c r="B90" s="7"/>
      <c r="C90" s="5"/>
      <c r="D90" s="5"/>
      <c r="E90" s="5"/>
      <c r="F90" s="5"/>
      <c r="G90" s="21"/>
      <c r="H90" s="21"/>
      <c r="I90" s="18"/>
      <c r="J90" s="18"/>
      <c r="K90" s="18"/>
      <c r="L90" s="18"/>
      <c r="M90" s="18"/>
    </row>
    <row r="91" spans="1:13" x14ac:dyDescent="0.2">
      <c r="A91" s="5"/>
      <c r="B91" s="5"/>
      <c r="C91" s="5"/>
      <c r="D91" s="5"/>
      <c r="E91" s="5"/>
      <c r="F91" s="5"/>
      <c r="G91" s="21"/>
      <c r="H91" s="21"/>
      <c r="I91" s="18"/>
      <c r="J91" s="18"/>
      <c r="K91" s="18"/>
      <c r="L91" s="18"/>
      <c r="M91" s="18"/>
    </row>
    <row r="92" spans="1:13" x14ac:dyDescent="0.2">
      <c r="A92" s="5"/>
      <c r="B92" s="5"/>
      <c r="C92" s="5"/>
      <c r="D92" s="5"/>
      <c r="E92" s="5"/>
      <c r="F92" s="5"/>
      <c r="G92" s="21"/>
      <c r="H92" s="21"/>
      <c r="I92" s="18"/>
      <c r="J92" s="18"/>
      <c r="K92" s="18"/>
      <c r="L92" s="18"/>
      <c r="M92" s="18"/>
    </row>
    <row r="93" spans="1:13" x14ac:dyDescent="0.2">
      <c r="A93" s="5"/>
      <c r="B93" s="5"/>
      <c r="C93" s="5"/>
      <c r="D93" s="5"/>
      <c r="E93" s="5"/>
      <c r="F93" s="5"/>
      <c r="G93" s="21"/>
      <c r="H93" s="21"/>
      <c r="I93" s="18"/>
    </row>
    <row r="94" spans="1:13" x14ac:dyDescent="0.2">
      <c r="A94" s="5"/>
      <c r="B94" s="5"/>
      <c r="C94" s="5"/>
      <c r="G94" s="18"/>
      <c r="H94" s="18"/>
      <c r="I94" s="18"/>
    </row>
    <row r="95" spans="1:13" x14ac:dyDescent="0.2">
      <c r="A95" s="5"/>
      <c r="B95" s="5"/>
      <c r="C95" s="5"/>
      <c r="G95" s="18"/>
      <c r="H95" s="18"/>
      <c r="I95" s="18"/>
    </row>
    <row r="96" spans="1:13" x14ac:dyDescent="0.2">
      <c r="A96" s="5"/>
      <c r="B96" s="5"/>
      <c r="C96" s="5"/>
      <c r="G96" s="18"/>
      <c r="H96" s="18"/>
      <c r="I96" s="18"/>
    </row>
    <row r="97" spans="1:9" x14ac:dyDescent="0.2">
      <c r="A97" s="5"/>
      <c r="B97" s="5"/>
      <c r="C97" s="5"/>
      <c r="G97" s="18"/>
      <c r="H97" s="18"/>
      <c r="I97" s="18"/>
    </row>
    <row r="98" spans="1:9" x14ac:dyDescent="0.2">
      <c r="A98" s="5"/>
      <c r="B98" s="5"/>
      <c r="C98" s="5"/>
      <c r="G98" s="18"/>
      <c r="H98" s="18"/>
      <c r="I98" s="18"/>
    </row>
    <row r="99" spans="1:9" x14ac:dyDescent="0.2">
      <c r="A99" s="5"/>
      <c r="B99" s="5"/>
      <c r="C99" s="5"/>
      <c r="G99" s="18"/>
      <c r="H99" s="18"/>
      <c r="I99" s="18"/>
    </row>
    <row r="100" spans="1:9" x14ac:dyDescent="0.2">
      <c r="A100" s="5"/>
      <c r="B100" s="5"/>
      <c r="C100" s="5"/>
    </row>
    <row r="114" spans="1:5" ht="13.5" thickBot="1" x14ac:dyDescent="0.25">
      <c r="A114" s="1"/>
      <c r="D114" s="16"/>
      <c r="E114" s="2"/>
    </row>
    <row r="115" spans="1:5" ht="15.75" thickBot="1" x14ac:dyDescent="0.3">
      <c r="A115" s="65" t="s">
        <v>125</v>
      </c>
      <c r="B115" s="95" t="s">
        <v>306</v>
      </c>
      <c r="D115" s="16"/>
      <c r="E115" s="2"/>
    </row>
    <row r="116" spans="1:5" ht="15.75" thickBot="1" x14ac:dyDescent="0.3">
      <c r="A116" s="57"/>
      <c r="B116" s="80"/>
      <c r="D116" s="16"/>
      <c r="E116" s="2"/>
    </row>
    <row r="117" spans="1:5" ht="15.75" thickBot="1" x14ac:dyDescent="0.3">
      <c r="A117" s="31" t="s">
        <v>126</v>
      </c>
      <c r="B117" s="85" t="str">
        <f>IF(B116&lt;&gt;"", (B116+120),"")</f>
        <v/>
      </c>
      <c r="D117" s="16"/>
      <c r="E117" s="2"/>
    </row>
    <row r="118" spans="1:5" ht="15" x14ac:dyDescent="0.25">
      <c r="A118" s="48" t="s">
        <v>127</v>
      </c>
      <c r="B118" s="101" t="s">
        <v>225</v>
      </c>
      <c r="D118" s="16"/>
      <c r="E118" s="2"/>
    </row>
    <row r="119" spans="1:5" ht="15" x14ac:dyDescent="0.25">
      <c r="A119" s="31" t="s">
        <v>128</v>
      </c>
      <c r="B119" s="62" t="s">
        <v>231</v>
      </c>
      <c r="D119" s="16"/>
      <c r="E119" s="2"/>
    </row>
    <row r="120" spans="1:5" ht="15" x14ac:dyDescent="0.25">
      <c r="A120" s="48" t="s">
        <v>130</v>
      </c>
      <c r="B120" s="62" t="s">
        <v>114</v>
      </c>
      <c r="D120" s="16"/>
      <c r="E120" s="2"/>
    </row>
    <row r="121" spans="1:5" ht="15.75" thickBot="1" x14ac:dyDescent="0.3">
      <c r="A121" s="31" t="s">
        <v>131</v>
      </c>
      <c r="B121" s="62" t="s">
        <v>263</v>
      </c>
      <c r="D121" s="93" t="s">
        <v>47</v>
      </c>
      <c r="E121" s="2"/>
    </row>
    <row r="122" spans="1:5" ht="15" x14ac:dyDescent="0.25">
      <c r="A122" s="48" t="s">
        <v>48</v>
      </c>
      <c r="B122" s="62" t="s">
        <v>234</v>
      </c>
      <c r="D122" s="5"/>
      <c r="E122" s="2"/>
    </row>
    <row r="123" spans="1:5" ht="15" x14ac:dyDescent="0.25">
      <c r="A123" s="53" t="s">
        <v>132</v>
      </c>
      <c r="B123" s="62" t="s">
        <v>241</v>
      </c>
      <c r="D123" s="7"/>
      <c r="E123" s="2"/>
    </row>
    <row r="124" spans="1:5" ht="15" x14ac:dyDescent="0.25">
      <c r="A124" s="53" t="s">
        <v>134</v>
      </c>
      <c r="B124" s="62" t="s">
        <v>251</v>
      </c>
      <c r="D124" s="9" t="s">
        <v>80</v>
      </c>
      <c r="E124" s="2"/>
    </row>
    <row r="125" spans="1:5" ht="15" x14ac:dyDescent="0.25">
      <c r="A125" s="53" t="s">
        <v>141</v>
      </c>
      <c r="B125" s="62" t="s">
        <v>253</v>
      </c>
      <c r="D125" s="9" t="s">
        <v>81</v>
      </c>
      <c r="E125" s="2"/>
    </row>
    <row r="126" spans="1:5" ht="15" x14ac:dyDescent="0.25">
      <c r="A126" s="53" t="s">
        <v>149</v>
      </c>
      <c r="B126" s="62" t="s">
        <v>303</v>
      </c>
      <c r="D126" s="9" t="s">
        <v>82</v>
      </c>
      <c r="E126" s="2"/>
    </row>
    <row r="127" spans="1:5" ht="15.75" thickBot="1" x14ac:dyDescent="0.3">
      <c r="A127" s="48" t="s">
        <v>174</v>
      </c>
      <c r="B127" s="63" t="s">
        <v>252</v>
      </c>
      <c r="D127" s="7" t="s">
        <v>3</v>
      </c>
      <c r="E127" s="2"/>
    </row>
    <row r="128" spans="1:5" ht="15.75" thickBot="1" x14ac:dyDescent="0.3">
      <c r="A128" s="48" t="s">
        <v>181</v>
      </c>
      <c r="B128" s="97" t="s">
        <v>235</v>
      </c>
      <c r="D128" s="9"/>
      <c r="E128" s="2"/>
    </row>
    <row r="129" spans="1:5" ht="13.5" thickBot="1" x14ac:dyDescent="0.25">
      <c r="B129" s="98" t="s">
        <v>236</v>
      </c>
      <c r="C129" s="12"/>
      <c r="D129" s="9"/>
      <c r="E129" s="2"/>
    </row>
    <row r="130" spans="1:5" x14ac:dyDescent="0.2">
      <c r="B130" s="105" t="s">
        <v>289</v>
      </c>
      <c r="C130" s="12"/>
      <c r="D130" s="9" t="s">
        <v>85</v>
      </c>
      <c r="E130" s="2"/>
    </row>
    <row r="131" spans="1:5" ht="13.5" thickBot="1" x14ac:dyDescent="0.25">
      <c r="A131" s="9"/>
      <c r="B131" s="9" t="s">
        <v>20</v>
      </c>
      <c r="C131" s="42" t="s">
        <v>110</v>
      </c>
      <c r="D131" s="9" t="s">
        <v>114</v>
      </c>
      <c r="E131" s="2"/>
    </row>
    <row r="132" spans="1:5" x14ac:dyDescent="0.2">
      <c r="A132" s="9"/>
      <c r="B132" s="9" t="s">
        <v>353</v>
      </c>
      <c r="C132" s="5"/>
      <c r="E132" s="2"/>
    </row>
    <row r="133" spans="1:5" ht="13.5" thickBot="1" x14ac:dyDescent="0.25">
      <c r="A133" s="9"/>
      <c r="B133" s="56" t="s">
        <v>354</v>
      </c>
      <c r="D133" s="9"/>
      <c r="E133" s="2"/>
    </row>
    <row r="134" spans="1:5" ht="15.75" thickBot="1" x14ac:dyDescent="0.25">
      <c r="A134" s="7"/>
      <c r="B134" s="9" t="s">
        <v>350</v>
      </c>
      <c r="C134" s="5"/>
      <c r="D134" s="10"/>
      <c r="E134" s="2"/>
    </row>
    <row r="135" spans="1:5" ht="15.75" thickBot="1" x14ac:dyDescent="0.25">
      <c r="A135" s="5" t="s">
        <v>213</v>
      </c>
      <c r="B135" s="44" t="s">
        <v>62</v>
      </c>
      <c r="C135" s="5"/>
      <c r="D135" s="10"/>
      <c r="E135" s="2"/>
    </row>
    <row r="136" spans="1:5" ht="15" x14ac:dyDescent="0.2">
      <c r="A136" s="5" t="s">
        <v>212</v>
      </c>
      <c r="B136" s="25" t="s">
        <v>58</v>
      </c>
      <c r="C136" s="5"/>
      <c r="D136" s="10"/>
      <c r="E136" s="37"/>
    </row>
    <row r="137" spans="1:5" ht="15.75" thickBot="1" x14ac:dyDescent="0.25">
      <c r="A137" s="3" t="s">
        <v>218</v>
      </c>
      <c r="B137" s="69"/>
      <c r="C137" s="5"/>
      <c r="D137" s="10"/>
      <c r="E137" s="37"/>
    </row>
    <row r="138" spans="1:5" ht="15.75" thickBot="1" x14ac:dyDescent="0.25">
      <c r="A138" s="59" t="s">
        <v>195</v>
      </c>
      <c r="B138" s="69" t="s">
        <v>272</v>
      </c>
      <c r="C138" s="5"/>
      <c r="D138" s="10"/>
      <c r="E138" s="37"/>
    </row>
    <row r="139" spans="1:5" ht="15" x14ac:dyDescent="0.2">
      <c r="A139" s="62" t="s">
        <v>257</v>
      </c>
      <c r="B139" s="25" t="s">
        <v>63</v>
      </c>
      <c r="C139" s="5"/>
      <c r="D139" s="10"/>
      <c r="E139" s="37"/>
    </row>
    <row r="140" spans="1:5" ht="15" x14ac:dyDescent="0.2">
      <c r="A140" s="62" t="s">
        <v>254</v>
      </c>
      <c r="B140" s="25" t="s">
        <v>49</v>
      </c>
      <c r="C140" s="5"/>
      <c r="D140" s="10"/>
      <c r="E140" s="37"/>
    </row>
    <row r="141" spans="1:5" ht="15" x14ac:dyDescent="0.2">
      <c r="A141" s="62" t="s">
        <v>255</v>
      </c>
      <c r="B141" s="25" t="s">
        <v>346</v>
      </c>
      <c r="C141" s="5"/>
      <c r="D141" s="10"/>
      <c r="E141" s="37"/>
    </row>
    <row r="142" spans="1:5" ht="15" x14ac:dyDescent="0.2">
      <c r="A142" s="62" t="s">
        <v>269</v>
      </c>
      <c r="B142" s="25" t="s">
        <v>61</v>
      </c>
      <c r="C142" s="5"/>
      <c r="D142" s="10"/>
      <c r="E142" s="37"/>
    </row>
    <row r="143" spans="1:5" ht="15" x14ac:dyDescent="0.2">
      <c r="A143" s="62" t="s">
        <v>268</v>
      </c>
      <c r="B143" s="25" t="s">
        <v>89</v>
      </c>
      <c r="C143" s="5"/>
      <c r="D143" s="10"/>
      <c r="E143" s="37"/>
    </row>
    <row r="144" spans="1:5" ht="15.75" thickBot="1" x14ac:dyDescent="0.25">
      <c r="A144" s="63" t="s">
        <v>290</v>
      </c>
      <c r="B144" s="25" t="s">
        <v>247</v>
      </c>
      <c r="C144" s="23"/>
      <c r="D144" s="10"/>
      <c r="E144" s="37"/>
    </row>
    <row r="145" spans="1:5" ht="15.75" thickBot="1" x14ac:dyDescent="0.25">
      <c r="A145" s="62" t="s">
        <v>258</v>
      </c>
      <c r="B145" s="25" t="s">
        <v>248</v>
      </c>
      <c r="C145" s="5"/>
      <c r="D145" s="10"/>
      <c r="E145" s="50" t="s">
        <v>106</v>
      </c>
    </row>
    <row r="146" spans="1:5" ht="15" x14ac:dyDescent="0.2">
      <c r="A146" s="62" t="s">
        <v>259</v>
      </c>
      <c r="B146" s="25" t="s">
        <v>79</v>
      </c>
      <c r="C146" s="7"/>
      <c r="D146" s="13"/>
      <c r="E146" s="8" t="s">
        <v>105</v>
      </c>
    </row>
    <row r="147" spans="1:5" ht="15.75" thickBot="1" x14ac:dyDescent="0.25">
      <c r="A147" s="62" t="s">
        <v>260</v>
      </c>
      <c r="B147" s="7"/>
      <c r="C147" s="7"/>
      <c r="D147" s="10"/>
      <c r="E147" s="6" t="s">
        <v>205</v>
      </c>
    </row>
    <row r="148" spans="1:5" ht="15.75" thickBot="1" x14ac:dyDescent="0.25">
      <c r="A148" s="59" t="s">
        <v>239</v>
      </c>
      <c r="B148" s="7"/>
      <c r="C148" s="7"/>
      <c r="D148" s="10"/>
      <c r="E148" s="8" t="s">
        <v>104</v>
      </c>
    </row>
    <row r="149" spans="1:5" ht="15" x14ac:dyDescent="0.2">
      <c r="A149" t="s">
        <v>203</v>
      </c>
      <c r="B149" s="7"/>
      <c r="C149" s="7"/>
      <c r="D149" s="10"/>
      <c r="E149" s="8" t="s">
        <v>107</v>
      </c>
    </row>
    <row r="150" spans="1:5" ht="15" x14ac:dyDescent="0.2">
      <c r="A150" t="s">
        <v>262</v>
      </c>
      <c r="B150" s="7"/>
      <c r="C150" s="7"/>
      <c r="D150" s="10"/>
      <c r="E150" s="8"/>
    </row>
    <row r="151" spans="1:5" ht="15" x14ac:dyDescent="0.2">
      <c r="A151" t="s">
        <v>199</v>
      </c>
      <c r="B151" s="7"/>
      <c r="C151" s="7"/>
      <c r="D151" s="10"/>
      <c r="E151" s="8"/>
    </row>
    <row r="152" spans="1:5" ht="15" x14ac:dyDescent="0.2">
      <c r="A152" s="5" t="s">
        <v>200</v>
      </c>
      <c r="B152" s="7"/>
      <c r="C152" s="7"/>
      <c r="D152" s="10"/>
      <c r="E152" s="8"/>
    </row>
    <row r="153" spans="1:5" ht="15" x14ac:dyDescent="0.2">
      <c r="A153" s="5" t="s">
        <v>201</v>
      </c>
      <c r="B153" s="7"/>
      <c r="C153" s="7"/>
      <c r="D153" s="10"/>
      <c r="E153" s="8"/>
    </row>
    <row r="154" spans="1:5" x14ac:dyDescent="0.2">
      <c r="A154" s="5" t="s">
        <v>300</v>
      </c>
      <c r="B154" s="43"/>
      <c r="C154" s="5"/>
      <c r="D154" s="7"/>
      <c r="E154" s="6" t="s">
        <v>206</v>
      </c>
    </row>
    <row r="155" spans="1:5" ht="15" x14ac:dyDescent="0.2">
      <c r="A155" t="s">
        <v>204</v>
      </c>
      <c r="B155" s="27"/>
      <c r="C155" s="5"/>
      <c r="E155" s="6" t="s">
        <v>151</v>
      </c>
    </row>
    <row r="156" spans="1:5" ht="15.75" thickBot="1" x14ac:dyDescent="0.25">
      <c r="A156" s="4" t="s">
        <v>293</v>
      </c>
      <c r="B156" s="13"/>
      <c r="C156" s="5"/>
      <c r="E156" s="8" t="s">
        <v>88</v>
      </c>
    </row>
    <row r="157" spans="1:5" x14ac:dyDescent="0.2">
      <c r="A157" s="7" t="s">
        <v>351</v>
      </c>
      <c r="B157" s="12"/>
      <c r="E157" s="8" t="s">
        <v>108</v>
      </c>
    </row>
    <row r="158" spans="1:5" ht="15" x14ac:dyDescent="0.2">
      <c r="A158" s="7" t="s">
        <v>355</v>
      </c>
      <c r="B158" s="13"/>
      <c r="E158" s="47" t="s">
        <v>124</v>
      </c>
    </row>
    <row r="159" spans="1:5" x14ac:dyDescent="0.2">
      <c r="A159" s="7" t="s">
        <v>357</v>
      </c>
      <c r="B159" s="16"/>
      <c r="E159" s="25" t="s">
        <v>89</v>
      </c>
    </row>
    <row r="160" spans="1:5" x14ac:dyDescent="0.2">
      <c r="A160" s="7" t="s">
        <v>358</v>
      </c>
      <c r="B160" s="16"/>
      <c r="E160" s="47" t="s">
        <v>145</v>
      </c>
    </row>
    <row r="161" spans="1:5" x14ac:dyDescent="0.2">
      <c r="A161" s="7" t="s">
        <v>361</v>
      </c>
      <c r="B161" s="20"/>
      <c r="C161" s="5"/>
    </row>
    <row r="162" spans="1:5" x14ac:dyDescent="0.2">
      <c r="A162" s="73"/>
      <c r="B162" s="19"/>
      <c r="C162" s="5"/>
    </row>
    <row r="163" spans="1:5" ht="13.5" thickBot="1" x14ac:dyDescent="0.25">
      <c r="A163" s="73"/>
      <c r="B163" s="19"/>
      <c r="C163" s="4"/>
    </row>
    <row r="164" spans="1:5" x14ac:dyDescent="0.2">
      <c r="A164" s="12"/>
      <c r="B164" s="19"/>
      <c r="C164" s="5"/>
      <c r="D164" s="18"/>
    </row>
    <row r="165" spans="1:5" ht="15" x14ac:dyDescent="0.2">
      <c r="A165" s="15"/>
      <c r="B165" s="19"/>
      <c r="C165" s="5"/>
      <c r="D165" s="18"/>
    </row>
    <row r="166" spans="1:5" ht="15" x14ac:dyDescent="0.2">
      <c r="A166" s="15" t="s">
        <v>1</v>
      </c>
      <c r="B166" s="19"/>
      <c r="C166" s="7"/>
      <c r="D166" s="18"/>
    </row>
    <row r="167" spans="1:5" ht="13.5" thickBot="1" x14ac:dyDescent="0.25">
      <c r="A167" s="12"/>
      <c r="B167" s="19"/>
      <c r="C167" s="4"/>
      <c r="D167" s="18"/>
    </row>
    <row r="168" spans="1:5" ht="13.5" thickBot="1" x14ac:dyDescent="0.25">
      <c r="A168" s="19"/>
      <c r="B168" s="19"/>
      <c r="C168" s="5"/>
      <c r="D168" s="18"/>
      <c r="E168" s="44" t="s">
        <v>153</v>
      </c>
    </row>
    <row r="169" spans="1:5" x14ac:dyDescent="0.2">
      <c r="A169" s="19"/>
      <c r="B169" s="19"/>
      <c r="D169" s="18"/>
      <c r="E169" s="47" t="s">
        <v>154</v>
      </c>
    </row>
    <row r="170" spans="1:5" ht="13.5" thickBot="1" x14ac:dyDescent="0.25">
      <c r="A170" s="22"/>
      <c r="B170" s="19"/>
      <c r="C170" s="5"/>
      <c r="D170" s="18"/>
      <c r="E170" s="47" t="s">
        <v>124</v>
      </c>
    </row>
    <row r="171" spans="1:5" x14ac:dyDescent="0.2">
      <c r="A171" s="19"/>
      <c r="B171" s="19"/>
      <c r="C171" s="5"/>
      <c r="D171" s="18"/>
      <c r="E171" s="18"/>
    </row>
    <row r="172" spans="1:5" x14ac:dyDescent="0.2">
      <c r="A172" s="18"/>
      <c r="B172" s="19"/>
      <c r="C172" s="5"/>
      <c r="D172" s="18"/>
      <c r="E172" s="18"/>
    </row>
    <row r="173" spans="1:5" x14ac:dyDescent="0.2">
      <c r="A173" s="18"/>
      <c r="B173" s="19"/>
      <c r="C173" s="5"/>
      <c r="D173" s="18"/>
      <c r="E173" s="18"/>
    </row>
    <row r="174" spans="1:5" x14ac:dyDescent="0.2">
      <c r="A174" s="18"/>
      <c r="B174" s="19"/>
      <c r="C174" s="7"/>
      <c r="D174" s="18"/>
      <c r="E174" s="18"/>
    </row>
    <row r="175" spans="1:5" x14ac:dyDescent="0.2">
      <c r="A175" s="18"/>
      <c r="B175" s="19"/>
      <c r="C175" s="7"/>
      <c r="D175" s="18"/>
      <c r="E175" s="18"/>
    </row>
    <row r="176" spans="1:5" x14ac:dyDescent="0.2">
      <c r="A176" s="18"/>
      <c r="B176" s="19"/>
      <c r="D176" s="18"/>
      <c r="E176" s="18"/>
    </row>
    <row r="177" spans="1:5" x14ac:dyDescent="0.2">
      <c r="A177" s="18"/>
      <c r="B177" s="19"/>
      <c r="D177" s="18"/>
      <c r="E177" s="18"/>
    </row>
    <row r="178" spans="1:5" x14ac:dyDescent="0.2">
      <c r="A178" s="18"/>
      <c r="B178" s="19"/>
      <c r="C178" s="32" t="s">
        <v>142</v>
      </c>
      <c r="D178" s="18"/>
      <c r="E178" s="18"/>
    </row>
    <row r="179" spans="1:5" x14ac:dyDescent="0.2">
      <c r="A179" s="18"/>
      <c r="B179" s="19"/>
      <c r="C179" s="33" t="s">
        <v>87</v>
      </c>
      <c r="D179" s="18"/>
      <c r="E179" s="18"/>
    </row>
    <row r="180" spans="1:5" x14ac:dyDescent="0.2">
      <c r="A180" s="18"/>
      <c r="B180" s="18"/>
      <c r="C180" s="9" t="s">
        <v>23</v>
      </c>
      <c r="D180" s="18"/>
      <c r="E180" s="18"/>
    </row>
    <row r="181" spans="1:5" x14ac:dyDescent="0.2">
      <c r="A181" s="18"/>
      <c r="B181" s="18"/>
      <c r="C181" s="18"/>
      <c r="D181" s="18"/>
      <c r="E181" s="18"/>
    </row>
    <row r="182" spans="1:5" x14ac:dyDescent="0.2">
      <c r="A182" s="18"/>
      <c r="B182" s="18"/>
      <c r="C182" s="32" t="s">
        <v>91</v>
      </c>
      <c r="D182" s="18"/>
      <c r="E182" s="18"/>
    </row>
    <row r="183" spans="1:5" x14ac:dyDescent="0.2">
      <c r="A183" s="18"/>
      <c r="B183" s="18"/>
      <c r="C183" s="35" t="s">
        <v>92</v>
      </c>
      <c r="D183" s="18"/>
      <c r="E183" s="18"/>
    </row>
    <row r="184" spans="1:5" x14ac:dyDescent="0.2">
      <c r="A184" s="18"/>
      <c r="B184" s="18"/>
      <c r="C184" s="36" t="s">
        <v>93</v>
      </c>
      <c r="D184" s="18"/>
      <c r="E184" s="18"/>
    </row>
    <row r="185" spans="1:5" x14ac:dyDescent="0.2">
      <c r="A185" s="18"/>
      <c r="B185" s="18"/>
      <c r="C185" s="32" t="s">
        <v>94</v>
      </c>
      <c r="D185" s="18"/>
      <c r="E185" s="18"/>
    </row>
    <row r="186" spans="1:5" x14ac:dyDescent="0.2">
      <c r="A186" s="18"/>
      <c r="B186" s="18"/>
      <c r="C186" s="32" t="s">
        <v>95</v>
      </c>
      <c r="D186" s="18"/>
      <c r="E186" s="18"/>
    </row>
    <row r="187" spans="1:5" ht="13.5" thickBot="1" x14ac:dyDescent="0.25">
      <c r="A187" s="18"/>
      <c r="B187" s="18"/>
      <c r="C187" s="41" t="s">
        <v>97</v>
      </c>
      <c r="D187" s="18"/>
      <c r="E187" s="18"/>
    </row>
    <row r="188" spans="1:5" ht="13.5" thickBot="1" x14ac:dyDescent="0.25">
      <c r="A188" s="18"/>
      <c r="B188" s="18"/>
      <c r="C188" s="51" t="s">
        <v>143</v>
      </c>
      <c r="D188" s="18"/>
      <c r="E188" s="18"/>
    </row>
    <row r="189" spans="1:5" ht="13.5" thickBot="1" x14ac:dyDescent="0.25">
      <c r="A189" s="18"/>
      <c r="B189" s="18"/>
      <c r="C189" s="51" t="s">
        <v>98</v>
      </c>
      <c r="D189" s="18"/>
      <c r="E189" s="18"/>
    </row>
    <row r="190" spans="1:5" x14ac:dyDescent="0.2">
      <c r="A190" s="18"/>
      <c r="B190" s="18"/>
      <c r="C190" s="36" t="s">
        <v>152</v>
      </c>
      <c r="D190" s="18"/>
      <c r="E190" s="18"/>
    </row>
    <row r="191" spans="1:5" x14ac:dyDescent="0.2">
      <c r="A191" s="18"/>
      <c r="B191" s="18"/>
      <c r="C191" s="36" t="s">
        <v>99</v>
      </c>
      <c r="D191" s="18"/>
      <c r="E191" s="18"/>
    </row>
    <row r="192" spans="1:5" x14ac:dyDescent="0.2">
      <c r="A192" s="18"/>
      <c r="B192" s="18"/>
      <c r="C192" s="36" t="s">
        <v>100</v>
      </c>
      <c r="D192" s="18"/>
      <c r="E192" s="18"/>
    </row>
    <row r="193" spans="1:5" x14ac:dyDescent="0.2">
      <c r="A193" s="18"/>
      <c r="B193" s="18"/>
      <c r="C193" s="36" t="s">
        <v>101</v>
      </c>
      <c r="D193" s="18"/>
      <c r="E193" s="18"/>
    </row>
    <row r="194" spans="1:5" x14ac:dyDescent="0.2">
      <c r="A194" s="18"/>
      <c r="B194" s="18"/>
      <c r="C194" s="36" t="s">
        <v>102</v>
      </c>
      <c r="D194" s="18"/>
      <c r="E194" s="18"/>
    </row>
    <row r="195" spans="1:5" ht="13.5" thickBot="1" x14ac:dyDescent="0.25">
      <c r="A195" s="18"/>
      <c r="B195" s="18"/>
      <c r="C195" s="41" t="s">
        <v>103</v>
      </c>
      <c r="D195" s="18"/>
      <c r="E195" s="18"/>
    </row>
    <row r="196" spans="1:5" ht="13.5" thickBot="1" x14ac:dyDescent="0.25">
      <c r="A196" s="18"/>
      <c r="B196" s="18"/>
      <c r="C196" s="34" t="s">
        <v>156</v>
      </c>
      <c r="D196" s="18"/>
      <c r="E196" s="18"/>
    </row>
    <row r="197" spans="1:5" x14ac:dyDescent="0.2">
      <c r="A197" s="18"/>
      <c r="B197" s="18"/>
      <c r="C197" s="32" t="s">
        <v>146</v>
      </c>
      <c r="D197" s="18"/>
      <c r="E197" s="18"/>
    </row>
  </sheetData>
  <sheetProtection selectLockedCells="1" selectUnlockedCells="1"/>
  <mergeCells count="34">
    <mergeCell ref="A41:B41"/>
    <mergeCell ref="A47:B47"/>
    <mergeCell ref="A51:B51"/>
    <mergeCell ref="A48:B48"/>
    <mergeCell ref="A49:B49"/>
    <mergeCell ref="A50:B50"/>
    <mergeCell ref="A42:B42"/>
    <mergeCell ref="A43:B43"/>
    <mergeCell ref="A44:B44"/>
    <mergeCell ref="A45:B45"/>
    <mergeCell ref="A46:B46"/>
    <mergeCell ref="A36:B36"/>
    <mergeCell ref="A37:B37"/>
    <mergeCell ref="A38:B38"/>
    <mergeCell ref="A40:B40"/>
    <mergeCell ref="A39:B39"/>
    <mergeCell ref="E36:F36"/>
    <mergeCell ref="E37:F37"/>
    <mergeCell ref="E38:F38"/>
    <mergeCell ref="E39:F39"/>
    <mergeCell ref="E40:F40"/>
    <mergeCell ref="A53:B53"/>
    <mergeCell ref="A54:B54"/>
    <mergeCell ref="A55:B55"/>
    <mergeCell ref="A56:B56"/>
    <mergeCell ref="A52:B52"/>
    <mergeCell ref="A62:B62"/>
    <mergeCell ref="A63:B63"/>
    <mergeCell ref="A64:B64"/>
    <mergeCell ref="A57:B57"/>
    <mergeCell ref="A58:B58"/>
    <mergeCell ref="A59:B59"/>
    <mergeCell ref="A60:B60"/>
    <mergeCell ref="A61:B61"/>
  </mergeCells>
  <conditionalFormatting sqref="B117">
    <cfRule type="cellIs" dxfId="9" priority="8" operator="lessThanOrEqual">
      <formula>NOW()</formula>
    </cfRule>
  </conditionalFormatting>
  <conditionalFormatting sqref="B6 F6">
    <cfRule type="cellIs" dxfId="8" priority="4" operator="lessThanOrEqual">
      <formula>NOW()</formula>
    </cfRule>
  </conditionalFormatting>
  <conditionalFormatting sqref="C6">
    <cfRule type="cellIs" dxfId="7" priority="3" operator="lessThanOrEqual">
      <formula>NOW()</formula>
    </cfRule>
  </conditionalFormatting>
  <conditionalFormatting sqref="D6">
    <cfRule type="cellIs" dxfId="6" priority="2" operator="lessThanOrEqual">
      <formula>NOW()</formula>
    </cfRule>
  </conditionalFormatting>
  <conditionalFormatting sqref="E6">
    <cfRule type="cellIs" dxfId="5" priority="1" operator="lessThanOrEqual">
      <formula>NOW()</formula>
    </cfRule>
  </conditionalFormatting>
  <hyperlinks>
    <hyperlink ref="A117" r:id="rId1" xr:uid="{AB76C1BA-A5B0-44AF-B3EC-5BAE598F4AFB}"/>
    <hyperlink ref="A118" r:id="rId2" display="Approvable Rations Chart" xr:uid="{8AD1BF21-45EA-4B14-B285-464B0BDEA740}"/>
    <hyperlink ref="A119" r:id="rId3" xr:uid="{2CD9A6AB-4C93-4A0B-AEF3-43911BEEE0AD}"/>
    <hyperlink ref="A120" r:id="rId4" xr:uid="{081330E4-8B24-41A1-BC51-73177D125C81}"/>
    <hyperlink ref="A121" r:id="rId5" xr:uid="{7CC81428-EB78-41B6-BE76-44EB420E1BA1}"/>
    <hyperlink ref="A122" r:id="rId6" xr:uid="{948309ED-1145-483D-B0F0-AA06B982EF27}"/>
    <hyperlink ref="A123" r:id="rId7" xr:uid="{67F5FBF5-AD3A-40E0-AC37-7951885BE756}"/>
    <hyperlink ref="A124" r:id="rId8" xr:uid="{1867B44C-8B17-48D5-817C-95B2D682FBB8}"/>
    <hyperlink ref="A125" r:id="rId9" xr:uid="{A9DEA548-3989-43C6-908D-705B610AEDEA}"/>
    <hyperlink ref="A126" r:id="rId10" xr:uid="{CFA1CFCF-5310-4145-8D35-466D24E0F8CD}"/>
    <hyperlink ref="A127" r:id="rId11" xr:uid="{103853D4-0CE0-45BC-9C3D-B59597DC5D5A}"/>
    <hyperlink ref="A128" r:id="rId12" xr:uid="{472AC733-DDAD-4383-A78E-C2E20652BA85}"/>
    <hyperlink ref="F2" location="'FHA Master Sheet'!A1" display="Go to Master Sheet" xr:uid="{54198D62-F55E-4041-8033-D30D5CCAC4B5}"/>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47389" r:id="rId16" name="Button 285">
              <controlPr defaultSize="0" print="0" autoFill="0" autoPict="0" macro="[0]!Sheet38.SearchSheetName">
                <anchor moveWithCells="1" sizeWithCells="1">
                  <from>
                    <xdr:col>2</xdr:col>
                    <xdr:colOff>723900</xdr:colOff>
                    <xdr:row>0</xdr:row>
                    <xdr:rowOff>85725</xdr:rowOff>
                  </from>
                  <to>
                    <xdr:col>3</xdr:col>
                    <xdr:colOff>1752600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3D51F-788A-45AF-9815-F683CEA21BF4}">
  <sheetPr codeName="Sheet38">
    <tabColor rgb="FF7030A0"/>
  </sheetPr>
  <dimension ref="A1:P197"/>
  <sheetViews>
    <sheetView zoomScale="125" zoomScaleNormal="125" workbookViewId="0">
      <selection activeCell="C22" sqref="C22"/>
    </sheetView>
  </sheetViews>
  <sheetFormatPr defaultRowHeight="12.75" x14ac:dyDescent="0.2"/>
  <cols>
    <col min="1" max="1" width="40.140625" customWidth="1"/>
    <col min="2" max="2" width="40.7109375" customWidth="1"/>
    <col min="3" max="3" width="43.42578125" customWidth="1"/>
    <col min="4" max="4" width="36" customWidth="1"/>
    <col min="5" max="5" width="35.42578125" bestFit="1" customWidth="1"/>
    <col min="6" max="6" width="37.140625" bestFit="1" customWidth="1"/>
    <col min="7" max="7" width="45.85546875" customWidth="1"/>
    <col min="8" max="8" width="46.85546875" bestFit="1" customWidth="1"/>
    <col min="9" max="9" width="36" bestFit="1" customWidth="1"/>
    <col min="10" max="10" width="27.85546875" bestFit="1" customWidth="1"/>
    <col min="11" max="11" width="27.28515625" customWidth="1"/>
    <col min="12" max="12" width="22.140625" bestFit="1" customWidth="1"/>
    <col min="13" max="13" width="27.85546875" bestFit="1" customWidth="1"/>
    <col min="16" max="16" width="27.85546875" bestFit="1" customWidth="1"/>
  </cols>
  <sheetData>
    <row r="1" spans="1:16" s="5" customFormat="1" ht="15.75" thickBot="1" x14ac:dyDescent="0.3">
      <c r="A1"/>
      <c r="B1"/>
      <c r="C1" s="158"/>
      <c r="D1" s="159"/>
      <c r="E1"/>
      <c r="F1" s="128" t="s">
        <v>2</v>
      </c>
      <c r="G1" s="129">
        <f ca="1">COUNTA(INDEX(CountSheets,0))</f>
        <v>3</v>
      </c>
      <c r="I1" s="31"/>
    </row>
    <row r="2" spans="1:16" s="5" customFormat="1" ht="15.75" thickBot="1" x14ac:dyDescent="0.3">
      <c r="A2" s="126" t="s">
        <v>5</v>
      </c>
      <c r="B2" s="127"/>
      <c r="C2" s="158"/>
      <c r="D2" s="159"/>
      <c r="E2"/>
      <c r="F2" s="94" t="s">
        <v>326</v>
      </c>
      <c r="G2"/>
      <c r="I2" s="31"/>
    </row>
    <row r="3" spans="1:16" s="5" customFormat="1" ht="15.75" thickBot="1" x14ac:dyDescent="0.25">
      <c r="A3" s="126" t="s">
        <v>2</v>
      </c>
      <c r="B3" s="130"/>
      <c r="C3" s="160"/>
      <c r="D3" s="161"/>
      <c r="E3" s="160"/>
      <c r="F3" s="72"/>
      <c r="G3"/>
      <c r="L3" s="58"/>
      <c r="M3" s="7"/>
      <c r="N3" s="7"/>
      <c r="O3" s="7"/>
      <c r="P3" s="7"/>
    </row>
    <row r="4" spans="1:16" ht="15.75" thickBot="1" x14ac:dyDescent="0.25">
      <c r="B4" s="162" t="s">
        <v>305</v>
      </c>
      <c r="C4" s="102" t="s">
        <v>308</v>
      </c>
      <c r="D4" s="118" t="s">
        <v>404</v>
      </c>
      <c r="E4" s="89" t="s">
        <v>481</v>
      </c>
      <c r="F4" s="89" t="s">
        <v>307</v>
      </c>
      <c r="G4" s="162"/>
      <c r="H4" s="99"/>
      <c r="I4" s="90"/>
      <c r="L4" s="16"/>
      <c r="M4" s="2"/>
      <c r="N4" s="2"/>
      <c r="O4" s="2"/>
      <c r="P4" s="2"/>
    </row>
    <row r="5" spans="1:16" ht="15.75" thickBot="1" x14ac:dyDescent="0.3">
      <c r="A5" s="103" t="s">
        <v>310</v>
      </c>
      <c r="B5" s="107"/>
      <c r="C5" s="109"/>
      <c r="D5" s="82"/>
      <c r="E5" s="114"/>
      <c r="F5" s="82"/>
      <c r="G5" s="163"/>
      <c r="H5" s="96"/>
      <c r="I5" s="124"/>
      <c r="L5" s="16"/>
      <c r="M5" s="2"/>
      <c r="N5" s="2"/>
      <c r="O5" s="2"/>
      <c r="P5" s="2"/>
    </row>
    <row r="6" spans="1:16" ht="15.75" thickBot="1" x14ac:dyDescent="0.3">
      <c r="A6" s="104" t="s">
        <v>311</v>
      </c>
      <c r="B6" s="108" t="str">
        <f>IF(B5&lt;&gt;"", (B5+120),"")</f>
        <v/>
      </c>
      <c r="C6" s="85" t="str">
        <f>IF(C5&lt;&gt;"", (C5+60),"")</f>
        <v/>
      </c>
      <c r="D6" s="119" t="str">
        <f>IF(D5&lt;&gt;"", (D5+60),"")</f>
        <v/>
      </c>
      <c r="E6" s="115" t="str">
        <f>IF(E5&lt;&gt;"", (E5+30),"")</f>
        <v/>
      </c>
      <c r="F6" s="86" t="str">
        <f>IF(F5&lt;&gt;"", (F5+90),"")</f>
        <v/>
      </c>
      <c r="G6" s="164"/>
      <c r="H6" s="100"/>
      <c r="N6" s="2"/>
      <c r="O6" s="2"/>
      <c r="P6" s="2"/>
    </row>
    <row r="7" spans="1:16" ht="13.5" thickBot="1" x14ac:dyDescent="0.25">
      <c r="A7" s="165" t="s">
        <v>367</v>
      </c>
      <c r="B7" s="166" t="s">
        <v>363</v>
      </c>
      <c r="C7" s="112" t="s">
        <v>364</v>
      </c>
      <c r="D7" s="111" t="s">
        <v>365</v>
      </c>
      <c r="E7" s="123" t="s">
        <v>370</v>
      </c>
      <c r="F7" s="111" t="s">
        <v>90</v>
      </c>
      <c r="G7" s="44" t="s">
        <v>426</v>
      </c>
      <c r="N7" s="2"/>
      <c r="O7" s="2"/>
      <c r="P7" s="2"/>
    </row>
    <row r="8" spans="1:16" x14ac:dyDescent="0.2">
      <c r="A8" t="s">
        <v>371</v>
      </c>
      <c r="B8" t="s">
        <v>394</v>
      </c>
      <c r="C8" s="29" t="s">
        <v>58</v>
      </c>
      <c r="D8" s="40" t="s">
        <v>380</v>
      </c>
      <c r="E8" s="167" t="s">
        <v>238</v>
      </c>
      <c r="F8" s="39" t="s">
        <v>405</v>
      </c>
      <c r="G8" s="29" t="s">
        <v>427</v>
      </c>
      <c r="N8" s="2"/>
      <c r="O8" s="2"/>
      <c r="P8" s="2"/>
    </row>
    <row r="9" spans="1:16" x14ac:dyDescent="0.2">
      <c r="A9" t="s">
        <v>470</v>
      </c>
      <c r="B9" t="s">
        <v>531</v>
      </c>
      <c r="C9" s="29" t="s">
        <v>272</v>
      </c>
      <c r="D9" s="40" t="s">
        <v>347</v>
      </c>
      <c r="E9" s="135" t="s">
        <v>375</v>
      </c>
      <c r="F9" s="39" t="s">
        <v>406</v>
      </c>
      <c r="G9" s="29" t="s">
        <v>436</v>
      </c>
      <c r="N9" s="2"/>
      <c r="O9" s="2"/>
      <c r="P9" s="2"/>
    </row>
    <row r="10" spans="1:16" x14ac:dyDescent="0.2">
      <c r="A10" t="s">
        <v>374</v>
      </c>
      <c r="B10" t="s">
        <v>434</v>
      </c>
      <c r="C10" s="29" t="s">
        <v>63</v>
      </c>
      <c r="D10" s="40" t="s">
        <v>19</v>
      </c>
      <c r="E10" s="135">
        <v>1008</v>
      </c>
      <c r="F10" s="39" t="s">
        <v>407</v>
      </c>
      <c r="G10" s="29" t="s">
        <v>428</v>
      </c>
      <c r="N10" s="2"/>
      <c r="O10" s="2"/>
      <c r="P10" s="2"/>
    </row>
    <row r="11" spans="1:16" x14ac:dyDescent="0.2">
      <c r="A11" t="s">
        <v>376</v>
      </c>
      <c r="B11" t="s">
        <v>13</v>
      </c>
      <c r="C11" s="29" t="s">
        <v>403</v>
      </c>
      <c r="D11" s="40" t="s">
        <v>192</v>
      </c>
      <c r="E11" s="135">
        <v>1003</v>
      </c>
      <c r="F11" s="39" t="s">
        <v>408</v>
      </c>
      <c r="G11" s="135" t="s">
        <v>429</v>
      </c>
      <c r="N11" s="2"/>
      <c r="O11" s="2"/>
      <c r="P11" s="2"/>
    </row>
    <row r="12" spans="1:16" x14ac:dyDescent="0.2">
      <c r="A12" t="s">
        <v>377</v>
      </c>
      <c r="B12" s="120" t="s">
        <v>38</v>
      </c>
      <c r="C12" s="29" t="s">
        <v>346</v>
      </c>
      <c r="D12" s="40" t="s">
        <v>64</v>
      </c>
      <c r="E12" s="29" t="s">
        <v>395</v>
      </c>
      <c r="F12" s="39" t="s">
        <v>409</v>
      </c>
      <c r="G12" s="29" t="s">
        <v>430</v>
      </c>
      <c r="N12" s="2"/>
      <c r="O12" s="2"/>
      <c r="P12" s="2"/>
    </row>
    <row r="13" spans="1:16" x14ac:dyDescent="0.2">
      <c r="A13" t="s">
        <v>378</v>
      </c>
      <c r="B13" t="s">
        <v>56</v>
      </c>
      <c r="C13" s="29" t="s">
        <v>61</v>
      </c>
      <c r="D13" s="40" t="s">
        <v>345</v>
      </c>
      <c r="E13" s="29" t="s">
        <v>400</v>
      </c>
      <c r="F13" s="39" t="s">
        <v>410</v>
      </c>
      <c r="G13" s="135" t="s">
        <v>431</v>
      </c>
      <c r="N13" s="2"/>
      <c r="O13" s="2"/>
    </row>
    <row r="14" spans="1:16" x14ac:dyDescent="0.2">
      <c r="A14" t="s">
        <v>342</v>
      </c>
      <c r="B14" t="s">
        <v>57</v>
      </c>
      <c r="C14" s="29" t="s">
        <v>89</v>
      </c>
      <c r="D14" s="40" t="s">
        <v>78</v>
      </c>
      <c r="E14" s="29" t="s">
        <v>401</v>
      </c>
      <c r="F14" s="39" t="s">
        <v>423</v>
      </c>
      <c r="G14" s="135" t="s">
        <v>432</v>
      </c>
      <c r="N14" s="2"/>
      <c r="O14" s="2"/>
    </row>
    <row r="15" spans="1:16" x14ac:dyDescent="0.2">
      <c r="A15" t="s">
        <v>343</v>
      </c>
      <c r="B15" t="s">
        <v>60</v>
      </c>
      <c r="C15" s="29" t="s">
        <v>247</v>
      </c>
      <c r="D15" s="24" t="s">
        <v>276</v>
      </c>
      <c r="E15" s="29" t="s">
        <v>399</v>
      </c>
      <c r="F15" s="39" t="s">
        <v>411</v>
      </c>
      <c r="G15" s="29" t="s">
        <v>433</v>
      </c>
      <c r="N15" s="2"/>
      <c r="O15" s="2"/>
    </row>
    <row r="16" spans="1:16" x14ac:dyDescent="0.2">
      <c r="A16" t="s">
        <v>379</v>
      </c>
      <c r="B16" t="s">
        <v>14</v>
      </c>
      <c r="C16" s="29" t="s">
        <v>248</v>
      </c>
      <c r="D16" s="40" t="s">
        <v>368</v>
      </c>
      <c r="E16" s="29"/>
      <c r="F16" s="39" t="s">
        <v>491</v>
      </c>
      <c r="G16" s="29" t="s">
        <v>437</v>
      </c>
      <c r="N16" s="2"/>
      <c r="O16" s="2"/>
    </row>
    <row r="17" spans="1:15" x14ac:dyDescent="0.2">
      <c r="A17" t="s">
        <v>194</v>
      </c>
      <c r="B17" t="s">
        <v>129</v>
      </c>
      <c r="C17" s="29" t="s">
        <v>79</v>
      </c>
      <c r="D17" s="40" t="s">
        <v>372</v>
      </c>
      <c r="E17" s="29" t="s">
        <v>396</v>
      </c>
      <c r="F17" s="39" t="s">
        <v>412</v>
      </c>
      <c r="G17" s="29" t="s">
        <v>438</v>
      </c>
      <c r="N17" s="2"/>
      <c r="O17" s="2"/>
    </row>
    <row r="18" spans="1:15" ht="13.5" thickBot="1" x14ac:dyDescent="0.25">
      <c r="A18" t="s">
        <v>382</v>
      </c>
      <c r="B18" t="s">
        <v>182</v>
      </c>
      <c r="C18" s="29" t="s">
        <v>369</v>
      </c>
      <c r="D18" s="40"/>
      <c r="E18" s="29" t="s">
        <v>397</v>
      </c>
      <c r="F18" s="39" t="s">
        <v>413</v>
      </c>
      <c r="G18" s="113" t="s">
        <v>439</v>
      </c>
      <c r="N18" s="2"/>
      <c r="O18" s="2"/>
    </row>
    <row r="19" spans="1:15" x14ac:dyDescent="0.2">
      <c r="A19" t="s">
        <v>383</v>
      </c>
      <c r="B19" s="120" t="s">
        <v>55</v>
      </c>
      <c r="C19" s="29" t="s">
        <v>388</v>
      </c>
      <c r="D19" s="40"/>
      <c r="E19" s="29" t="s">
        <v>398</v>
      </c>
      <c r="F19" s="39" t="s">
        <v>414</v>
      </c>
      <c r="G19" s="29" t="s">
        <v>463</v>
      </c>
      <c r="N19" s="2"/>
      <c r="O19" s="2"/>
    </row>
    <row r="20" spans="1:15" x14ac:dyDescent="0.2">
      <c r="A20" t="s">
        <v>384</v>
      </c>
      <c r="B20" t="s">
        <v>283</v>
      </c>
      <c r="C20" s="29" t="s">
        <v>373</v>
      </c>
      <c r="D20" s="40"/>
      <c r="E20" s="29"/>
      <c r="F20" s="39" t="s">
        <v>415</v>
      </c>
      <c r="G20" s="29"/>
      <c r="N20" s="2"/>
      <c r="O20" s="2"/>
    </row>
    <row r="21" spans="1:15" ht="13.5" thickBot="1" x14ac:dyDescent="0.25">
      <c r="A21" t="s">
        <v>340</v>
      </c>
      <c r="B21" s="136" t="s">
        <v>338</v>
      </c>
      <c r="C21" s="113" t="s">
        <v>389</v>
      </c>
      <c r="D21" s="40"/>
      <c r="E21" s="168"/>
      <c r="F21" s="39" t="s">
        <v>416</v>
      </c>
      <c r="G21" s="113"/>
      <c r="N21" s="2"/>
      <c r="O21" s="2"/>
    </row>
    <row r="22" spans="1:15" ht="13.5" thickBot="1" x14ac:dyDescent="0.25">
      <c r="A22" t="s">
        <v>385</v>
      </c>
      <c r="B22" t="s">
        <v>8</v>
      </c>
      <c r="C22" s="29" t="s">
        <v>390</v>
      </c>
      <c r="D22" s="45" t="s">
        <v>465</v>
      </c>
      <c r="E22" s="44" t="s">
        <v>366</v>
      </c>
      <c r="F22" s="29" t="s">
        <v>417</v>
      </c>
      <c r="G22" s="29"/>
      <c r="N22" s="2"/>
      <c r="O22" s="2"/>
    </row>
    <row r="23" spans="1:15" x14ac:dyDescent="0.2">
      <c r="A23" t="s">
        <v>386</v>
      </c>
      <c r="B23" t="s">
        <v>7</v>
      </c>
      <c r="C23" s="29" t="s">
        <v>425</v>
      </c>
      <c r="D23" s="40" t="s">
        <v>464</v>
      </c>
      <c r="E23" s="40" t="s">
        <v>25</v>
      </c>
      <c r="F23" s="29" t="s">
        <v>418</v>
      </c>
      <c r="G23" s="135"/>
      <c r="N23" s="2"/>
      <c r="O23" s="2"/>
    </row>
    <row r="24" spans="1:15" x14ac:dyDescent="0.2">
      <c r="A24" t="s">
        <v>391</v>
      </c>
      <c r="B24" t="s">
        <v>532</v>
      </c>
      <c r="C24" s="29" t="s">
        <v>471</v>
      </c>
      <c r="D24" s="40" t="s">
        <v>466</v>
      </c>
      <c r="E24" s="40" t="s">
        <v>26</v>
      </c>
      <c r="F24" s="29" t="s">
        <v>435</v>
      </c>
      <c r="G24" s="29" t="s">
        <v>446</v>
      </c>
      <c r="N24" s="2"/>
      <c r="O24" s="2"/>
    </row>
    <row r="25" spans="1:15" x14ac:dyDescent="0.2">
      <c r="A25" t="s">
        <v>209</v>
      </c>
      <c r="B25" t="s">
        <v>15</v>
      </c>
      <c r="C25" s="29" t="s">
        <v>472</v>
      </c>
      <c r="D25" s="40" t="s">
        <v>483</v>
      </c>
      <c r="E25" s="40" t="s">
        <v>321</v>
      </c>
      <c r="F25" s="29" t="s">
        <v>468</v>
      </c>
      <c r="G25" s="29" t="s">
        <v>440</v>
      </c>
      <c r="N25" s="2"/>
      <c r="O25" s="2"/>
    </row>
    <row r="26" spans="1:15" ht="13.5" thickBot="1" x14ac:dyDescent="0.25">
      <c r="A26" t="s">
        <v>216</v>
      </c>
      <c r="B26" t="s">
        <v>16</v>
      </c>
      <c r="C26" s="29" t="s">
        <v>473</v>
      </c>
      <c r="D26" s="40"/>
      <c r="E26" s="40" t="s">
        <v>27</v>
      </c>
      <c r="F26" s="29" t="s">
        <v>469</v>
      </c>
      <c r="G26" s="113" t="s">
        <v>441</v>
      </c>
      <c r="N26" s="2"/>
      <c r="O26" s="2"/>
    </row>
    <row r="27" spans="1:15" ht="13.5" thickBot="1" x14ac:dyDescent="0.25">
      <c r="B27" t="s">
        <v>17</v>
      </c>
      <c r="C27" s="45" t="s">
        <v>83</v>
      </c>
      <c r="D27" s="113"/>
      <c r="E27" s="40" t="s">
        <v>28</v>
      </c>
      <c r="F27" s="29"/>
      <c r="G27" s="29" t="s">
        <v>442</v>
      </c>
      <c r="N27" s="2"/>
      <c r="O27" s="2"/>
    </row>
    <row r="28" spans="1:15" s="5" customFormat="1" ht="13.5" thickBot="1" x14ac:dyDescent="0.25">
      <c r="A28"/>
      <c r="B28" t="s">
        <v>341</v>
      </c>
      <c r="C28" s="29" t="s">
        <v>29</v>
      </c>
      <c r="D28" s="44" t="s">
        <v>474</v>
      </c>
      <c r="E28" s="40" t="s">
        <v>30</v>
      </c>
      <c r="F28" s="29"/>
      <c r="G28" s="135" t="s">
        <v>443</v>
      </c>
      <c r="N28" s="38"/>
      <c r="O28" s="38"/>
    </row>
    <row r="29" spans="1:15" s="5" customFormat="1" ht="13.5" thickBot="1" x14ac:dyDescent="0.25">
      <c r="A29"/>
      <c r="B29" t="s">
        <v>344</v>
      </c>
      <c r="C29" s="29" t="s">
        <v>275</v>
      </c>
      <c r="D29" t="s">
        <v>476</v>
      </c>
      <c r="E29" s="40" t="s">
        <v>190</v>
      </c>
      <c r="F29" s="29"/>
      <c r="G29" s="169" t="s">
        <v>444</v>
      </c>
      <c r="N29" s="38"/>
      <c r="O29" s="38"/>
    </row>
    <row r="30" spans="1:15" s="5" customFormat="1" ht="13.5" thickBot="1" x14ac:dyDescent="0.25">
      <c r="A30" s="45" t="s">
        <v>121</v>
      </c>
      <c r="B30" t="s">
        <v>180</v>
      </c>
      <c r="C30" s="29" t="s">
        <v>360</v>
      </c>
      <c r="D30" t="s">
        <v>475</v>
      </c>
      <c r="E30" s="144" t="s">
        <v>32</v>
      </c>
      <c r="F30" s="135"/>
      <c r="G30" s="135" t="s">
        <v>445</v>
      </c>
      <c r="N30" s="38"/>
      <c r="O30" s="38"/>
    </row>
    <row r="31" spans="1:15" s="5" customFormat="1" x14ac:dyDescent="0.2">
      <c r="A31" s="132" t="s">
        <v>10</v>
      </c>
      <c r="B31" t="s">
        <v>183</v>
      </c>
      <c r="C31" s="29" t="s">
        <v>34</v>
      </c>
      <c r="D31" s="40" t="s">
        <v>477</v>
      </c>
      <c r="E31" s="40" t="s">
        <v>33</v>
      </c>
      <c r="F31" s="29" t="s">
        <v>424</v>
      </c>
      <c r="G31" s="29" t="s">
        <v>447</v>
      </c>
      <c r="N31" s="38"/>
      <c r="O31" s="38"/>
    </row>
    <row r="32" spans="1:15" s="5" customFormat="1" ht="13.5" thickBot="1" x14ac:dyDescent="0.25">
      <c r="A32" s="135" t="s">
        <v>11</v>
      </c>
      <c r="B32" t="s">
        <v>387</v>
      </c>
      <c r="C32" s="29" t="s">
        <v>36</v>
      </c>
      <c r="D32" s="40" t="s">
        <v>478</v>
      </c>
      <c r="E32" s="40" t="s">
        <v>278</v>
      </c>
      <c r="F32" s="29" t="s">
        <v>419</v>
      </c>
      <c r="G32" s="113" t="s">
        <v>448</v>
      </c>
      <c r="N32" s="38"/>
      <c r="O32" s="38"/>
    </row>
    <row r="33" spans="1:16" s="5" customFormat="1" x14ac:dyDescent="0.2">
      <c r="A33" s="135" t="s">
        <v>12</v>
      </c>
      <c r="B33" t="s">
        <v>393</v>
      </c>
      <c r="C33" s="29" t="s">
        <v>37</v>
      </c>
      <c r="D33" s="40" t="s">
        <v>479</v>
      </c>
      <c r="E33" s="40" t="s">
        <v>191</v>
      </c>
      <c r="F33" s="29" t="s">
        <v>420</v>
      </c>
      <c r="G33" s="135" t="s">
        <v>449</v>
      </c>
      <c r="N33" s="38"/>
      <c r="O33" s="38"/>
    </row>
    <row r="34" spans="1:16" s="5" customFormat="1" x14ac:dyDescent="0.2">
      <c r="A34" s="135" t="s">
        <v>52</v>
      </c>
      <c r="B34" t="s">
        <v>467</v>
      </c>
      <c r="C34" s="29" t="s">
        <v>39</v>
      </c>
      <c r="D34" s="40" t="s">
        <v>480</v>
      </c>
      <c r="E34" s="40" t="s">
        <v>292</v>
      </c>
      <c r="F34" s="29" t="s">
        <v>421</v>
      </c>
      <c r="G34" s="135" t="s">
        <v>450</v>
      </c>
      <c r="N34" s="38"/>
      <c r="O34" s="38"/>
    </row>
    <row r="35" spans="1:16" s="5" customFormat="1" ht="13.5" thickBot="1" x14ac:dyDescent="0.25">
      <c r="A35" s="135" t="s">
        <v>53</v>
      </c>
      <c r="B35"/>
      <c r="C35" s="113" t="s">
        <v>40</v>
      </c>
      <c r="D35" s="40"/>
      <c r="E35" s="40" t="s">
        <v>294</v>
      </c>
      <c r="F35" s="113" t="s">
        <v>422</v>
      </c>
      <c r="G35" s="135" t="s">
        <v>451</v>
      </c>
      <c r="N35" s="38"/>
      <c r="O35" s="38"/>
    </row>
    <row r="36" spans="1:16" s="5" customFormat="1" ht="13.5" thickBot="1" x14ac:dyDescent="0.25">
      <c r="A36" s="189" t="s">
        <v>381</v>
      </c>
      <c r="B36" s="190"/>
      <c r="C36" s="125"/>
      <c r="D36" s="170" t="s">
        <v>42</v>
      </c>
      <c r="E36" s="201"/>
      <c r="F36" s="201"/>
      <c r="G36" s="113" t="s">
        <v>452</v>
      </c>
      <c r="H36" s="9"/>
      <c r="N36" s="38"/>
      <c r="O36" s="38"/>
    </row>
    <row r="37" spans="1:16" s="5" customFormat="1" ht="13.5" thickBot="1" x14ac:dyDescent="0.25">
      <c r="A37" s="199"/>
      <c r="B37" s="200"/>
      <c r="C37" s="120"/>
      <c r="D37" s="171" t="s">
        <v>43</v>
      </c>
      <c r="E37" s="202"/>
      <c r="F37" s="203"/>
      <c r="G37" s="29" t="s">
        <v>456</v>
      </c>
      <c r="N37" s="38"/>
      <c r="O37" s="38"/>
    </row>
    <row r="38" spans="1:16" ht="13.5" thickBot="1" x14ac:dyDescent="0.25">
      <c r="A38" s="199"/>
      <c r="B38" s="200"/>
      <c r="C38" s="120"/>
      <c r="D38" s="171" t="s">
        <v>44</v>
      </c>
      <c r="E38" s="202"/>
      <c r="F38" s="203"/>
      <c r="G38" s="135" t="s">
        <v>453</v>
      </c>
      <c r="N38" s="2"/>
      <c r="O38" s="2"/>
    </row>
    <row r="39" spans="1:16" s="5" customFormat="1" ht="13.5" thickBot="1" x14ac:dyDescent="0.25">
      <c r="A39" s="199"/>
      <c r="B39" s="200"/>
      <c r="C39" s="120"/>
      <c r="D39" s="171" t="s">
        <v>392</v>
      </c>
      <c r="E39" s="202"/>
      <c r="F39" s="203"/>
      <c r="G39" s="29" t="s">
        <v>454</v>
      </c>
      <c r="N39" s="38"/>
      <c r="O39" s="38"/>
    </row>
    <row r="40" spans="1:16" s="5" customFormat="1" ht="13.5" thickBot="1" x14ac:dyDescent="0.25">
      <c r="A40" s="199"/>
      <c r="B40" s="200"/>
      <c r="C40" s="120"/>
      <c r="D40" s="172" t="s">
        <v>46</v>
      </c>
      <c r="E40" s="204"/>
      <c r="F40" s="205"/>
      <c r="G40" s="113" t="s">
        <v>455</v>
      </c>
      <c r="N40" s="38"/>
      <c r="O40" s="38"/>
      <c r="P40" s="46"/>
    </row>
    <row r="41" spans="1:16" s="5" customFormat="1" ht="13.5" thickBot="1" x14ac:dyDescent="0.25">
      <c r="A41" s="199"/>
      <c r="B41" s="200"/>
      <c r="C41" s="120"/>
      <c r="D41"/>
      <c r="E41"/>
      <c r="F41"/>
      <c r="G41" s="127" t="s">
        <v>457</v>
      </c>
      <c r="N41" s="38"/>
      <c r="O41" s="38"/>
      <c r="P41" s="46"/>
    </row>
    <row r="42" spans="1:16" s="5" customFormat="1" ht="13.5" thickBot="1" x14ac:dyDescent="0.25">
      <c r="A42" s="199"/>
      <c r="B42" s="200"/>
      <c r="C42" s="120"/>
      <c r="D42"/>
      <c r="E42"/>
      <c r="F42"/>
      <c r="G42" s="127" t="s">
        <v>205</v>
      </c>
      <c r="N42" s="38"/>
      <c r="O42" s="38"/>
      <c r="P42" s="28"/>
    </row>
    <row r="43" spans="1:16" s="5" customFormat="1" ht="13.5" thickBot="1" x14ac:dyDescent="0.25">
      <c r="A43" s="199"/>
      <c r="B43" s="200"/>
      <c r="C43" s="120"/>
      <c r="D43" s="153" t="s">
        <v>115</v>
      </c>
      <c r="E43"/>
      <c r="F43"/>
      <c r="G43" s="132" t="s">
        <v>458</v>
      </c>
      <c r="N43" s="38"/>
      <c r="O43" s="38"/>
      <c r="P43" s="28"/>
    </row>
    <row r="44" spans="1:16" s="5" customFormat="1" ht="15.75" thickBot="1" x14ac:dyDescent="0.3">
      <c r="A44" s="206"/>
      <c r="B44" s="207"/>
      <c r="C44" s="120"/>
      <c r="D44" s="125" t="s">
        <v>116</v>
      </c>
      <c r="E44" s="125" t="s">
        <v>117</v>
      </c>
      <c r="F44" s="125" t="s">
        <v>402</v>
      </c>
      <c r="G44" s="29" t="s">
        <v>459</v>
      </c>
      <c r="N44" s="38"/>
      <c r="O44" s="38"/>
      <c r="P44" s="28"/>
    </row>
    <row r="45" spans="1:16" s="5" customFormat="1" ht="14.25" customHeight="1" thickBot="1" x14ac:dyDescent="0.25">
      <c r="A45" s="196"/>
      <c r="B45" s="197"/>
      <c r="C45" s="120"/>
      <c r="D45" s="72"/>
      <c r="E45" s="72"/>
      <c r="F45" s="72"/>
      <c r="G45" s="169" t="s">
        <v>460</v>
      </c>
      <c r="N45" s="38"/>
      <c r="O45" s="38"/>
      <c r="P45" s="28"/>
    </row>
    <row r="46" spans="1:16" s="5" customFormat="1" ht="13.5" thickBot="1" x14ac:dyDescent="0.25">
      <c r="A46" s="196"/>
      <c r="B46" s="197"/>
      <c r="C46" s="120"/>
      <c r="D46" s="72"/>
      <c r="E46" s="72"/>
      <c r="F46" s="72"/>
      <c r="G46" s="167" t="s">
        <v>461</v>
      </c>
      <c r="N46" s="38"/>
      <c r="O46" s="38"/>
      <c r="P46" s="38"/>
    </row>
    <row r="47" spans="1:16" ht="13.5" thickBot="1" x14ac:dyDescent="0.25">
      <c r="A47" s="196"/>
      <c r="B47" s="197"/>
      <c r="C47" s="120"/>
      <c r="D47" s="120"/>
      <c r="E47" s="72"/>
      <c r="F47" s="72"/>
      <c r="G47" s="135" t="s">
        <v>462</v>
      </c>
      <c r="N47" s="2"/>
      <c r="O47" s="2"/>
      <c r="P47" s="2"/>
    </row>
    <row r="48" spans="1:16" ht="13.5" thickBot="1" x14ac:dyDescent="0.25">
      <c r="A48" s="196"/>
      <c r="B48" s="197"/>
      <c r="C48" s="120"/>
      <c r="D48" s="120"/>
      <c r="E48" s="72"/>
      <c r="F48" s="72"/>
      <c r="G48" s="169" t="s">
        <v>482</v>
      </c>
      <c r="N48" s="2"/>
      <c r="O48" s="2"/>
      <c r="P48" s="2"/>
    </row>
    <row r="49" spans="1:16" ht="15.75" thickBot="1" x14ac:dyDescent="0.25">
      <c r="A49" s="196"/>
      <c r="B49" s="197"/>
      <c r="C49" s="106"/>
      <c r="D49" s="106"/>
      <c r="E49" s="122"/>
      <c r="F49" s="121"/>
      <c r="G49" s="116"/>
      <c r="H49" s="52"/>
      <c r="N49" s="2"/>
      <c r="O49" s="2"/>
      <c r="P49" s="2"/>
    </row>
    <row r="50" spans="1:16" ht="13.5" thickBot="1" x14ac:dyDescent="0.25">
      <c r="A50" s="196"/>
      <c r="B50" s="197"/>
      <c r="C50" s="106"/>
      <c r="D50" s="106"/>
      <c r="E50" s="122"/>
      <c r="F50" s="121"/>
      <c r="G50" s="117"/>
      <c r="N50" s="2"/>
      <c r="O50" s="2"/>
      <c r="P50" s="2"/>
    </row>
    <row r="51" spans="1:16" ht="13.5" thickBot="1" x14ac:dyDescent="0.25">
      <c r="A51" s="199"/>
      <c r="B51" s="200"/>
      <c r="C51" s="106"/>
      <c r="D51" s="106"/>
      <c r="F51" s="66"/>
      <c r="G51" s="117"/>
      <c r="H51" s="66"/>
      <c r="N51" s="2"/>
      <c r="O51" s="2"/>
      <c r="P51" s="2"/>
    </row>
    <row r="52" spans="1:16" ht="13.5" thickBot="1" x14ac:dyDescent="0.25">
      <c r="A52" s="196"/>
      <c r="B52" s="197"/>
      <c r="C52" s="106"/>
      <c r="D52" s="106"/>
      <c r="F52" s="66"/>
      <c r="G52" s="117"/>
      <c r="H52" s="66"/>
      <c r="N52" s="2"/>
      <c r="O52" s="2"/>
      <c r="P52" s="2"/>
    </row>
    <row r="53" spans="1:16" ht="13.5" thickBot="1" x14ac:dyDescent="0.25">
      <c r="A53" s="196"/>
      <c r="B53" s="197"/>
      <c r="C53" s="106"/>
      <c r="D53" s="106"/>
      <c r="F53" s="66"/>
      <c r="G53" s="67"/>
      <c r="H53" s="66"/>
      <c r="N53" s="2"/>
      <c r="O53" s="2"/>
      <c r="P53" s="2"/>
    </row>
    <row r="54" spans="1:16" ht="13.5" thickBot="1" x14ac:dyDescent="0.25">
      <c r="A54" s="196"/>
      <c r="B54" s="197"/>
      <c r="C54" s="23"/>
      <c r="D54" s="106"/>
      <c r="F54" s="66"/>
      <c r="G54" s="67"/>
      <c r="H54" s="66"/>
    </row>
    <row r="55" spans="1:16" ht="13.5" thickBot="1" x14ac:dyDescent="0.25">
      <c r="A55" s="196"/>
      <c r="B55" s="197"/>
      <c r="C55" s="23"/>
      <c r="D55" s="106"/>
      <c r="F55" s="66"/>
      <c r="G55" s="68"/>
      <c r="H55" s="66"/>
    </row>
    <row r="56" spans="1:16" ht="13.5" thickBot="1" x14ac:dyDescent="0.25">
      <c r="A56" s="196"/>
      <c r="B56" s="197"/>
      <c r="C56" s="23"/>
      <c r="D56" s="106"/>
      <c r="F56" s="26"/>
    </row>
    <row r="57" spans="1:16" ht="15.75" thickBot="1" x14ac:dyDescent="0.3">
      <c r="A57" s="199"/>
      <c r="B57" s="200"/>
      <c r="C57" s="120"/>
      <c r="D57" s="106"/>
      <c r="E57" s="11"/>
      <c r="F57" s="11"/>
      <c r="G57" s="14"/>
      <c r="H57" s="15"/>
    </row>
    <row r="58" spans="1:16" ht="15.75" thickBot="1" x14ac:dyDescent="0.3">
      <c r="A58" s="196"/>
      <c r="B58" s="197"/>
      <c r="C58" s="120"/>
      <c r="D58" s="106"/>
      <c r="E58" s="11"/>
      <c r="F58" s="11"/>
      <c r="G58" s="14" t="s">
        <v>45</v>
      </c>
      <c r="H58" s="15" t="s">
        <v>46</v>
      </c>
    </row>
    <row r="59" spans="1:16" ht="13.5" thickBot="1" x14ac:dyDescent="0.25">
      <c r="A59" s="196"/>
      <c r="B59" s="197"/>
      <c r="C59" s="120"/>
      <c r="D59" s="106"/>
      <c r="E59" s="72"/>
      <c r="F59" s="72"/>
      <c r="G59" s="72"/>
      <c r="H59" s="72"/>
    </row>
    <row r="60" spans="1:16" ht="13.5" thickBot="1" x14ac:dyDescent="0.25">
      <c r="A60" s="196"/>
      <c r="B60" s="197"/>
      <c r="C60" s="120"/>
      <c r="D60" s="106"/>
      <c r="E60" s="64"/>
      <c r="F60" s="64"/>
      <c r="G60" s="64"/>
      <c r="H60" s="18"/>
    </row>
    <row r="61" spans="1:16" ht="13.5" thickBot="1" x14ac:dyDescent="0.25">
      <c r="A61" s="196"/>
      <c r="B61" s="197"/>
      <c r="C61" s="120"/>
      <c r="D61" s="106"/>
      <c r="E61" s="74"/>
      <c r="F61" s="78"/>
      <c r="G61" s="78"/>
      <c r="H61" s="18"/>
    </row>
    <row r="62" spans="1:16" ht="13.5" thickBot="1" x14ac:dyDescent="0.25">
      <c r="A62" s="196"/>
      <c r="B62" s="197"/>
      <c r="C62" s="120"/>
      <c r="D62" s="106"/>
      <c r="E62" s="12"/>
      <c r="F62" s="19"/>
      <c r="G62" s="22"/>
      <c r="H62" s="22"/>
    </row>
    <row r="63" spans="1:16" ht="13.5" thickBot="1" x14ac:dyDescent="0.25">
      <c r="A63" s="199"/>
      <c r="B63" s="200"/>
      <c r="D63" s="106"/>
      <c r="G63" s="18"/>
      <c r="H63" s="18"/>
    </row>
    <row r="64" spans="1:16" ht="13.5" thickBot="1" x14ac:dyDescent="0.25">
      <c r="A64" s="196"/>
      <c r="B64" s="197"/>
      <c r="D64" s="7"/>
      <c r="E64" s="5"/>
      <c r="F64" s="5"/>
      <c r="G64" s="21"/>
      <c r="H64" s="21"/>
    </row>
    <row r="65" spans="1:8" x14ac:dyDescent="0.2">
      <c r="A65" s="9"/>
      <c r="B65" s="9"/>
      <c r="D65" s="106"/>
      <c r="E65" s="5"/>
      <c r="F65" s="5"/>
      <c r="G65" s="21"/>
      <c r="H65" s="21"/>
    </row>
    <row r="66" spans="1:8" x14ac:dyDescent="0.2">
      <c r="B66" s="7"/>
      <c r="D66" s="7"/>
      <c r="E66" s="5"/>
      <c r="F66" s="5"/>
      <c r="G66" s="21"/>
      <c r="H66" s="21"/>
    </row>
    <row r="67" spans="1:8" x14ac:dyDescent="0.2">
      <c r="B67" s="7"/>
      <c r="D67" s="106"/>
      <c r="E67" s="5"/>
      <c r="F67" s="5"/>
      <c r="G67" s="21"/>
      <c r="H67" s="21"/>
    </row>
    <row r="68" spans="1:8" x14ac:dyDescent="0.2">
      <c r="B68" s="7"/>
      <c r="D68" s="106"/>
      <c r="E68" s="5"/>
      <c r="F68" s="5"/>
      <c r="G68" s="21"/>
      <c r="H68" s="21"/>
    </row>
    <row r="69" spans="1:8" x14ac:dyDescent="0.2">
      <c r="B69" s="7"/>
      <c r="D69" s="5"/>
      <c r="E69" s="5"/>
      <c r="F69" s="5"/>
      <c r="G69" s="21"/>
      <c r="H69" s="21"/>
    </row>
    <row r="70" spans="1:8" x14ac:dyDescent="0.2">
      <c r="B70" s="7"/>
      <c r="D70" s="5"/>
      <c r="E70" s="5"/>
      <c r="F70" s="5"/>
      <c r="G70" s="21"/>
      <c r="H70" s="21"/>
    </row>
    <row r="71" spans="1:8" x14ac:dyDescent="0.2">
      <c r="B71" s="7"/>
      <c r="C71" s="7"/>
      <c r="D71" s="5"/>
      <c r="E71" s="5"/>
      <c r="F71" s="5"/>
      <c r="G71" s="21"/>
      <c r="H71" s="21"/>
    </row>
    <row r="72" spans="1:8" x14ac:dyDescent="0.2">
      <c r="B72" s="7"/>
      <c r="C72" s="12"/>
      <c r="D72" s="5"/>
      <c r="E72" s="5"/>
      <c r="F72" s="5"/>
      <c r="G72" s="21"/>
      <c r="H72" s="21"/>
    </row>
    <row r="73" spans="1:8" x14ac:dyDescent="0.2">
      <c r="B73" s="7"/>
      <c r="C73" s="7"/>
      <c r="D73" s="5"/>
      <c r="E73" s="5"/>
      <c r="F73" s="5"/>
      <c r="G73" s="21"/>
      <c r="H73" s="21"/>
    </row>
    <row r="74" spans="1:8" x14ac:dyDescent="0.2">
      <c r="B74" s="7"/>
      <c r="C74" s="7"/>
      <c r="D74" s="5"/>
      <c r="E74" s="5"/>
      <c r="F74" s="5"/>
      <c r="G74" s="21"/>
      <c r="H74" s="21"/>
    </row>
    <row r="75" spans="1:8" x14ac:dyDescent="0.2">
      <c r="B75" s="7"/>
      <c r="C75" s="7"/>
      <c r="D75" s="5"/>
      <c r="E75" s="5"/>
      <c r="F75" s="5"/>
      <c r="G75" s="21"/>
      <c r="H75" s="21"/>
    </row>
    <row r="76" spans="1:8" x14ac:dyDescent="0.2">
      <c r="B76" s="7"/>
      <c r="C76" s="7"/>
      <c r="D76" s="5"/>
      <c r="E76" s="5"/>
      <c r="F76" s="5"/>
      <c r="G76" s="21"/>
      <c r="H76" s="21"/>
    </row>
    <row r="77" spans="1:8" x14ac:dyDescent="0.2">
      <c r="B77" s="9"/>
      <c r="C77" s="12"/>
      <c r="D77" s="5"/>
      <c r="E77" s="5"/>
      <c r="F77" s="5"/>
      <c r="G77" s="21"/>
      <c r="H77" s="21"/>
    </row>
    <row r="78" spans="1:8" x14ac:dyDescent="0.2">
      <c r="B78" s="110"/>
      <c r="C78" s="110"/>
      <c r="D78" s="5"/>
      <c r="E78" s="5"/>
      <c r="F78" s="5"/>
      <c r="G78" s="21"/>
      <c r="H78" s="21"/>
    </row>
    <row r="79" spans="1:8" x14ac:dyDescent="0.2">
      <c r="B79" s="9"/>
      <c r="C79" s="7"/>
      <c r="D79" s="5"/>
      <c r="E79" s="5"/>
      <c r="F79" s="5"/>
      <c r="G79" s="21"/>
      <c r="H79" s="21"/>
    </row>
    <row r="80" spans="1:8" x14ac:dyDescent="0.2">
      <c r="B80" s="9"/>
      <c r="C80" s="7"/>
      <c r="D80" s="5"/>
      <c r="E80" s="5"/>
      <c r="F80" s="5"/>
      <c r="G80" s="21"/>
      <c r="H80" s="21"/>
    </row>
    <row r="81" spans="1:13" x14ac:dyDescent="0.2">
      <c r="B81" s="9"/>
      <c r="C81" s="7"/>
      <c r="D81" s="5"/>
      <c r="E81" s="5"/>
      <c r="F81" s="5"/>
      <c r="G81" s="21"/>
      <c r="H81" s="21"/>
    </row>
    <row r="82" spans="1:13" x14ac:dyDescent="0.2">
      <c r="B82" s="9"/>
      <c r="C82" s="7"/>
      <c r="D82" s="5"/>
      <c r="E82" s="5"/>
      <c r="F82" s="5"/>
      <c r="G82" s="21"/>
      <c r="H82" s="21"/>
    </row>
    <row r="83" spans="1:13" x14ac:dyDescent="0.2">
      <c r="B83" s="9"/>
      <c r="C83" s="5"/>
      <c r="D83" s="5"/>
      <c r="E83" s="5"/>
      <c r="F83" s="5"/>
      <c r="G83" s="21"/>
      <c r="H83" s="21"/>
    </row>
    <row r="84" spans="1:13" x14ac:dyDescent="0.2">
      <c r="B84" s="9"/>
      <c r="C84" s="5"/>
      <c r="D84" s="5"/>
      <c r="E84" s="5"/>
      <c r="F84" s="5"/>
      <c r="G84" s="21"/>
      <c r="H84" s="21"/>
    </row>
    <row r="85" spans="1:13" x14ac:dyDescent="0.2">
      <c r="B85" s="9"/>
      <c r="C85" s="5"/>
      <c r="D85" s="5"/>
      <c r="E85" s="5"/>
      <c r="F85" s="5"/>
      <c r="G85" s="21"/>
      <c r="H85" s="21"/>
    </row>
    <row r="86" spans="1:13" x14ac:dyDescent="0.2">
      <c r="B86" s="7"/>
      <c r="C86" s="5"/>
      <c r="D86" s="5"/>
      <c r="E86" s="5"/>
      <c r="F86" s="5"/>
      <c r="G86" s="21"/>
      <c r="H86" s="21"/>
    </row>
    <row r="87" spans="1:13" x14ac:dyDescent="0.2">
      <c r="B87" s="7"/>
      <c r="D87" s="5"/>
      <c r="E87" s="5"/>
      <c r="F87" s="5"/>
      <c r="G87" s="21"/>
      <c r="H87" s="21"/>
    </row>
    <row r="88" spans="1:13" x14ac:dyDescent="0.2">
      <c r="A88" s="7"/>
      <c r="B88" s="7"/>
      <c r="C88" s="5"/>
      <c r="D88" s="5"/>
      <c r="E88" s="5"/>
      <c r="F88" s="5"/>
      <c r="G88" s="21"/>
      <c r="H88" s="21"/>
    </row>
    <row r="89" spans="1:13" x14ac:dyDescent="0.2">
      <c r="A89" s="7"/>
      <c r="B89" s="7"/>
      <c r="C89" s="5"/>
      <c r="D89" s="5"/>
      <c r="E89" s="5"/>
      <c r="F89" s="5"/>
      <c r="G89" s="21"/>
      <c r="H89" s="21"/>
    </row>
    <row r="90" spans="1:13" x14ac:dyDescent="0.2">
      <c r="A90" s="7"/>
      <c r="B90" s="7"/>
      <c r="C90" s="5"/>
      <c r="D90" s="5"/>
      <c r="E90" s="5"/>
      <c r="F90" s="5"/>
      <c r="G90" s="21"/>
      <c r="H90" s="21"/>
      <c r="I90" s="18"/>
      <c r="J90" s="18"/>
      <c r="K90" s="18"/>
      <c r="L90" s="18"/>
      <c r="M90" s="18"/>
    </row>
    <row r="91" spans="1:13" x14ac:dyDescent="0.2">
      <c r="A91" s="5"/>
      <c r="B91" s="5"/>
      <c r="C91" s="5"/>
      <c r="D91" s="5"/>
      <c r="E91" s="5"/>
      <c r="F91" s="5"/>
      <c r="G91" s="21"/>
      <c r="H91" s="21"/>
      <c r="I91" s="18"/>
      <c r="J91" s="18"/>
      <c r="K91" s="18"/>
      <c r="L91" s="18"/>
      <c r="M91" s="18"/>
    </row>
    <row r="92" spans="1:13" x14ac:dyDescent="0.2">
      <c r="A92" s="5"/>
      <c r="B92" s="5"/>
      <c r="C92" s="5"/>
      <c r="D92" s="5"/>
      <c r="E92" s="5"/>
      <c r="F92" s="5"/>
      <c r="G92" s="21"/>
      <c r="H92" s="21"/>
      <c r="I92" s="18"/>
      <c r="J92" s="18"/>
      <c r="K92" s="18"/>
      <c r="L92" s="18"/>
      <c r="M92" s="18"/>
    </row>
    <row r="93" spans="1:13" x14ac:dyDescent="0.2">
      <c r="A93" s="5"/>
      <c r="B93" s="5"/>
      <c r="C93" s="5"/>
      <c r="D93" s="5"/>
      <c r="E93" s="5"/>
      <c r="F93" s="5"/>
      <c r="G93" s="21"/>
      <c r="H93" s="21"/>
      <c r="I93" s="18"/>
    </row>
    <row r="94" spans="1:13" x14ac:dyDescent="0.2">
      <c r="A94" s="5"/>
      <c r="B94" s="5"/>
      <c r="C94" s="5"/>
      <c r="G94" s="18"/>
      <c r="H94" s="18"/>
      <c r="I94" s="18"/>
    </row>
    <row r="95" spans="1:13" x14ac:dyDescent="0.2">
      <c r="A95" s="5"/>
      <c r="B95" s="5"/>
      <c r="C95" s="5"/>
      <c r="G95" s="18"/>
      <c r="H95" s="18"/>
      <c r="I95" s="18"/>
    </row>
    <row r="96" spans="1:13" x14ac:dyDescent="0.2">
      <c r="A96" s="5"/>
      <c r="B96" s="5"/>
      <c r="C96" s="5"/>
      <c r="G96" s="18"/>
      <c r="H96" s="18"/>
      <c r="I96" s="18"/>
    </row>
    <row r="97" spans="1:9" x14ac:dyDescent="0.2">
      <c r="A97" s="5"/>
      <c r="B97" s="5"/>
      <c r="C97" s="5"/>
      <c r="G97" s="18"/>
      <c r="H97" s="18"/>
      <c r="I97" s="18"/>
    </row>
    <row r="98" spans="1:9" x14ac:dyDescent="0.2">
      <c r="A98" s="5"/>
      <c r="B98" s="5"/>
      <c r="C98" s="5"/>
      <c r="G98" s="18"/>
      <c r="H98" s="18"/>
      <c r="I98" s="18"/>
    </row>
    <row r="99" spans="1:9" x14ac:dyDescent="0.2">
      <c r="A99" s="5"/>
      <c r="B99" s="5"/>
      <c r="C99" s="5"/>
      <c r="G99" s="18"/>
      <c r="H99" s="18"/>
      <c r="I99" s="18"/>
    </row>
    <row r="100" spans="1:9" x14ac:dyDescent="0.2">
      <c r="A100" s="5"/>
      <c r="B100" s="5"/>
      <c r="C100" s="5"/>
    </row>
    <row r="114" spans="1:5" ht="13.5" thickBot="1" x14ac:dyDescent="0.25">
      <c r="A114" s="1"/>
      <c r="D114" s="16"/>
      <c r="E114" s="2"/>
    </row>
    <row r="115" spans="1:5" ht="15.75" thickBot="1" x14ac:dyDescent="0.3">
      <c r="A115" s="65" t="s">
        <v>125</v>
      </c>
      <c r="B115" s="95" t="s">
        <v>306</v>
      </c>
      <c r="D115" s="16"/>
      <c r="E115" s="2"/>
    </row>
    <row r="116" spans="1:5" ht="15.75" thickBot="1" x14ac:dyDescent="0.3">
      <c r="A116" s="57"/>
      <c r="B116" s="80"/>
      <c r="D116" s="16"/>
      <c r="E116" s="2"/>
    </row>
    <row r="117" spans="1:5" ht="15.75" thickBot="1" x14ac:dyDescent="0.3">
      <c r="A117" s="31" t="s">
        <v>126</v>
      </c>
      <c r="B117" s="85" t="str">
        <f>IF(B116&lt;&gt;"", (B116+120),"")</f>
        <v/>
      </c>
      <c r="D117" s="16"/>
      <c r="E117" s="2"/>
    </row>
    <row r="118" spans="1:5" ht="15" x14ac:dyDescent="0.25">
      <c r="A118" s="48" t="s">
        <v>127</v>
      </c>
      <c r="B118" s="101" t="s">
        <v>225</v>
      </c>
      <c r="D118" s="16"/>
      <c r="E118" s="2"/>
    </row>
    <row r="119" spans="1:5" ht="15" x14ac:dyDescent="0.25">
      <c r="A119" s="31" t="s">
        <v>128</v>
      </c>
      <c r="B119" s="62" t="s">
        <v>231</v>
      </c>
      <c r="D119" s="16"/>
      <c r="E119" s="2"/>
    </row>
    <row r="120" spans="1:5" ht="15" x14ac:dyDescent="0.25">
      <c r="A120" s="48" t="s">
        <v>130</v>
      </c>
      <c r="B120" s="62" t="s">
        <v>114</v>
      </c>
      <c r="D120" s="16"/>
      <c r="E120" s="2"/>
    </row>
    <row r="121" spans="1:5" ht="15.75" thickBot="1" x14ac:dyDescent="0.3">
      <c r="A121" s="31" t="s">
        <v>131</v>
      </c>
      <c r="B121" s="62" t="s">
        <v>263</v>
      </c>
      <c r="D121" s="93" t="s">
        <v>47</v>
      </c>
      <c r="E121" s="2"/>
    </row>
    <row r="122" spans="1:5" ht="15" x14ac:dyDescent="0.25">
      <c r="A122" s="48" t="s">
        <v>48</v>
      </c>
      <c r="B122" s="62" t="s">
        <v>234</v>
      </c>
      <c r="D122" s="5"/>
      <c r="E122" s="2"/>
    </row>
    <row r="123" spans="1:5" ht="15" x14ac:dyDescent="0.25">
      <c r="A123" s="53" t="s">
        <v>132</v>
      </c>
      <c r="B123" s="62" t="s">
        <v>241</v>
      </c>
      <c r="D123" s="7"/>
      <c r="E123" s="2"/>
    </row>
    <row r="124" spans="1:5" ht="15" x14ac:dyDescent="0.25">
      <c r="A124" s="53" t="s">
        <v>134</v>
      </c>
      <c r="B124" s="62" t="s">
        <v>251</v>
      </c>
      <c r="D124" s="9" t="s">
        <v>80</v>
      </c>
      <c r="E124" s="2"/>
    </row>
    <row r="125" spans="1:5" ht="15" x14ac:dyDescent="0.25">
      <c r="A125" s="53" t="s">
        <v>141</v>
      </c>
      <c r="B125" s="62" t="s">
        <v>253</v>
      </c>
      <c r="D125" s="9" t="s">
        <v>81</v>
      </c>
      <c r="E125" s="2"/>
    </row>
    <row r="126" spans="1:5" ht="15" x14ac:dyDescent="0.25">
      <c r="A126" s="53" t="s">
        <v>149</v>
      </c>
      <c r="B126" s="62" t="s">
        <v>303</v>
      </c>
      <c r="D126" s="9" t="s">
        <v>82</v>
      </c>
      <c r="E126" s="2"/>
    </row>
    <row r="127" spans="1:5" ht="15.75" thickBot="1" x14ac:dyDescent="0.3">
      <c r="A127" s="48" t="s">
        <v>174</v>
      </c>
      <c r="B127" s="63" t="s">
        <v>252</v>
      </c>
      <c r="D127" s="7" t="s">
        <v>3</v>
      </c>
      <c r="E127" s="2"/>
    </row>
    <row r="128" spans="1:5" ht="15.75" thickBot="1" x14ac:dyDescent="0.3">
      <c r="A128" s="48" t="s">
        <v>181</v>
      </c>
      <c r="B128" s="97" t="s">
        <v>235</v>
      </c>
      <c r="D128" s="9"/>
      <c r="E128" s="2"/>
    </row>
    <row r="129" spans="1:5" ht="13.5" thickBot="1" x14ac:dyDescent="0.25">
      <c r="B129" s="98" t="s">
        <v>236</v>
      </c>
      <c r="C129" s="12"/>
      <c r="D129" s="9"/>
      <c r="E129" s="2"/>
    </row>
    <row r="130" spans="1:5" x14ac:dyDescent="0.2">
      <c r="B130" s="105" t="s">
        <v>289</v>
      </c>
      <c r="C130" s="12"/>
      <c r="D130" s="9" t="s">
        <v>85</v>
      </c>
      <c r="E130" s="2"/>
    </row>
    <row r="131" spans="1:5" ht="13.5" thickBot="1" x14ac:dyDescent="0.25">
      <c r="A131" s="9"/>
      <c r="B131" s="9" t="s">
        <v>20</v>
      </c>
      <c r="C131" s="42" t="s">
        <v>110</v>
      </c>
      <c r="D131" s="9" t="s">
        <v>114</v>
      </c>
      <c r="E131" s="2"/>
    </row>
    <row r="132" spans="1:5" x14ac:dyDescent="0.2">
      <c r="A132" s="9"/>
      <c r="B132" s="9" t="s">
        <v>353</v>
      </c>
      <c r="C132" s="5"/>
      <c r="E132" s="2"/>
    </row>
    <row r="133" spans="1:5" ht="13.5" thickBot="1" x14ac:dyDescent="0.25">
      <c r="A133" s="9"/>
      <c r="B133" s="56" t="s">
        <v>354</v>
      </c>
      <c r="D133" s="9"/>
      <c r="E133" s="2"/>
    </row>
    <row r="134" spans="1:5" ht="15.75" thickBot="1" x14ac:dyDescent="0.25">
      <c r="A134" s="7"/>
      <c r="B134" s="9" t="s">
        <v>350</v>
      </c>
      <c r="C134" s="5"/>
      <c r="D134" s="10"/>
      <c r="E134" s="2"/>
    </row>
    <row r="135" spans="1:5" ht="15.75" thickBot="1" x14ac:dyDescent="0.25">
      <c r="A135" s="5" t="s">
        <v>213</v>
      </c>
      <c r="B135" s="44" t="s">
        <v>62</v>
      </c>
      <c r="C135" s="5"/>
      <c r="D135" s="10"/>
      <c r="E135" s="2"/>
    </row>
    <row r="136" spans="1:5" ht="15" x14ac:dyDescent="0.2">
      <c r="A136" s="5" t="s">
        <v>212</v>
      </c>
      <c r="B136" s="25" t="s">
        <v>58</v>
      </c>
      <c r="C136" s="5"/>
      <c r="D136" s="10"/>
      <c r="E136" s="37"/>
    </row>
    <row r="137" spans="1:5" ht="15.75" thickBot="1" x14ac:dyDescent="0.25">
      <c r="A137" s="3" t="s">
        <v>218</v>
      </c>
      <c r="B137" s="69"/>
      <c r="C137" s="5"/>
      <c r="D137" s="10"/>
      <c r="E137" s="37"/>
    </row>
    <row r="138" spans="1:5" ht="15.75" thickBot="1" x14ac:dyDescent="0.25">
      <c r="A138" s="59" t="s">
        <v>195</v>
      </c>
      <c r="B138" s="69" t="s">
        <v>272</v>
      </c>
      <c r="C138" s="5"/>
      <c r="D138" s="10"/>
      <c r="E138" s="37"/>
    </row>
    <row r="139" spans="1:5" ht="15" x14ac:dyDescent="0.2">
      <c r="A139" s="62" t="s">
        <v>257</v>
      </c>
      <c r="B139" s="25" t="s">
        <v>63</v>
      </c>
      <c r="C139" s="5"/>
      <c r="D139" s="10"/>
      <c r="E139" s="37"/>
    </row>
    <row r="140" spans="1:5" ht="15" x14ac:dyDescent="0.2">
      <c r="A140" s="62" t="s">
        <v>254</v>
      </c>
      <c r="B140" s="25" t="s">
        <v>49</v>
      </c>
      <c r="C140" s="5"/>
      <c r="D140" s="10"/>
      <c r="E140" s="37"/>
    </row>
    <row r="141" spans="1:5" ht="15" x14ac:dyDescent="0.2">
      <c r="A141" s="62" t="s">
        <v>255</v>
      </c>
      <c r="B141" s="25" t="s">
        <v>346</v>
      </c>
      <c r="C141" s="5"/>
      <c r="D141" s="10"/>
      <c r="E141" s="37"/>
    </row>
    <row r="142" spans="1:5" ht="15" x14ac:dyDescent="0.2">
      <c r="A142" s="62" t="s">
        <v>269</v>
      </c>
      <c r="B142" s="25" t="s">
        <v>61</v>
      </c>
      <c r="C142" s="5"/>
      <c r="D142" s="10"/>
      <c r="E142" s="37"/>
    </row>
    <row r="143" spans="1:5" ht="15" x14ac:dyDescent="0.2">
      <c r="A143" s="62" t="s">
        <v>268</v>
      </c>
      <c r="B143" s="25" t="s">
        <v>89</v>
      </c>
      <c r="C143" s="5"/>
      <c r="D143" s="10"/>
      <c r="E143" s="37"/>
    </row>
    <row r="144" spans="1:5" ht="15.75" thickBot="1" x14ac:dyDescent="0.25">
      <c r="A144" s="63" t="s">
        <v>290</v>
      </c>
      <c r="B144" s="25" t="s">
        <v>247</v>
      </c>
      <c r="C144" s="23"/>
      <c r="D144" s="10"/>
      <c r="E144" s="37"/>
    </row>
    <row r="145" spans="1:5" ht="15.75" thickBot="1" x14ac:dyDescent="0.25">
      <c r="A145" s="62" t="s">
        <v>258</v>
      </c>
      <c r="B145" s="25" t="s">
        <v>248</v>
      </c>
      <c r="C145" s="5"/>
      <c r="D145" s="10"/>
      <c r="E145" s="50" t="s">
        <v>106</v>
      </c>
    </row>
    <row r="146" spans="1:5" ht="15" x14ac:dyDescent="0.2">
      <c r="A146" s="62" t="s">
        <v>259</v>
      </c>
      <c r="B146" s="25" t="s">
        <v>79</v>
      </c>
      <c r="C146" s="7"/>
      <c r="D146" s="13"/>
      <c r="E146" s="8" t="s">
        <v>105</v>
      </c>
    </row>
    <row r="147" spans="1:5" ht="15.75" thickBot="1" x14ac:dyDescent="0.25">
      <c r="A147" s="62" t="s">
        <v>260</v>
      </c>
      <c r="B147" s="7"/>
      <c r="C147" s="7"/>
      <c r="D147" s="10"/>
      <c r="E147" s="6" t="s">
        <v>205</v>
      </c>
    </row>
    <row r="148" spans="1:5" ht="15.75" thickBot="1" x14ac:dyDescent="0.25">
      <c r="A148" s="59" t="s">
        <v>239</v>
      </c>
      <c r="B148" s="7"/>
      <c r="C148" s="7"/>
      <c r="D148" s="10"/>
      <c r="E148" s="8" t="s">
        <v>104</v>
      </c>
    </row>
    <row r="149" spans="1:5" ht="15" x14ac:dyDescent="0.2">
      <c r="A149" t="s">
        <v>203</v>
      </c>
      <c r="B149" s="7"/>
      <c r="C149" s="7"/>
      <c r="D149" s="10"/>
      <c r="E149" s="8" t="s">
        <v>107</v>
      </c>
    </row>
    <row r="150" spans="1:5" ht="15" x14ac:dyDescent="0.2">
      <c r="A150" t="s">
        <v>262</v>
      </c>
      <c r="B150" s="7"/>
      <c r="C150" s="7"/>
      <c r="D150" s="10"/>
      <c r="E150" s="8"/>
    </row>
    <row r="151" spans="1:5" ht="15" x14ac:dyDescent="0.2">
      <c r="A151" t="s">
        <v>199</v>
      </c>
      <c r="B151" s="7"/>
      <c r="C151" s="7"/>
      <c r="D151" s="10"/>
      <c r="E151" s="8"/>
    </row>
    <row r="152" spans="1:5" ht="15" x14ac:dyDescent="0.2">
      <c r="A152" s="5" t="s">
        <v>200</v>
      </c>
      <c r="B152" s="7"/>
      <c r="C152" s="7"/>
      <c r="D152" s="10"/>
      <c r="E152" s="8"/>
    </row>
    <row r="153" spans="1:5" ht="15" x14ac:dyDescent="0.2">
      <c r="A153" s="5" t="s">
        <v>201</v>
      </c>
      <c r="B153" s="7"/>
      <c r="C153" s="7"/>
      <c r="D153" s="10"/>
      <c r="E153" s="8"/>
    </row>
    <row r="154" spans="1:5" x14ac:dyDescent="0.2">
      <c r="A154" s="5" t="s">
        <v>300</v>
      </c>
      <c r="B154" s="43"/>
      <c r="C154" s="5"/>
      <c r="D154" s="7"/>
      <c r="E154" s="6" t="s">
        <v>206</v>
      </c>
    </row>
    <row r="155" spans="1:5" ht="15" x14ac:dyDescent="0.2">
      <c r="A155" t="s">
        <v>204</v>
      </c>
      <c r="B155" s="27"/>
      <c r="C155" s="5"/>
      <c r="E155" s="6" t="s">
        <v>151</v>
      </c>
    </row>
    <row r="156" spans="1:5" ht="15.75" thickBot="1" x14ac:dyDescent="0.25">
      <c r="A156" s="4" t="s">
        <v>293</v>
      </c>
      <c r="B156" s="13"/>
      <c r="C156" s="5"/>
      <c r="E156" s="8" t="s">
        <v>88</v>
      </c>
    </row>
    <row r="157" spans="1:5" x14ac:dyDescent="0.2">
      <c r="A157" s="7" t="s">
        <v>351</v>
      </c>
      <c r="B157" s="12"/>
      <c r="E157" s="8" t="s">
        <v>108</v>
      </c>
    </row>
    <row r="158" spans="1:5" ht="15" x14ac:dyDescent="0.2">
      <c r="A158" s="7" t="s">
        <v>355</v>
      </c>
      <c r="B158" s="13"/>
      <c r="E158" s="47" t="s">
        <v>124</v>
      </c>
    </row>
    <row r="159" spans="1:5" x14ac:dyDescent="0.2">
      <c r="A159" s="7" t="s">
        <v>357</v>
      </c>
      <c r="B159" s="16"/>
      <c r="E159" s="25" t="s">
        <v>89</v>
      </c>
    </row>
    <row r="160" spans="1:5" x14ac:dyDescent="0.2">
      <c r="A160" s="7" t="s">
        <v>358</v>
      </c>
      <c r="B160" s="16"/>
      <c r="E160" s="47" t="s">
        <v>145</v>
      </c>
    </row>
    <row r="161" spans="1:5" x14ac:dyDescent="0.2">
      <c r="A161" s="7" t="s">
        <v>361</v>
      </c>
      <c r="B161" s="20"/>
      <c r="C161" s="5"/>
    </row>
    <row r="162" spans="1:5" x14ac:dyDescent="0.2">
      <c r="A162" s="73"/>
      <c r="B162" s="19"/>
      <c r="C162" s="5"/>
    </row>
    <row r="163" spans="1:5" ht="13.5" thickBot="1" x14ac:dyDescent="0.25">
      <c r="A163" s="73"/>
      <c r="B163" s="19"/>
      <c r="C163" s="4"/>
    </row>
    <row r="164" spans="1:5" x14ac:dyDescent="0.2">
      <c r="A164" s="12"/>
      <c r="B164" s="19"/>
      <c r="C164" s="5"/>
      <c r="D164" s="18"/>
    </row>
    <row r="165" spans="1:5" ht="15" x14ac:dyDescent="0.2">
      <c r="A165" s="15"/>
      <c r="B165" s="19"/>
      <c r="C165" s="5"/>
      <c r="D165" s="18"/>
    </row>
    <row r="166" spans="1:5" ht="15" x14ac:dyDescent="0.2">
      <c r="A166" s="15" t="s">
        <v>1</v>
      </c>
      <c r="B166" s="19"/>
      <c r="C166" s="7"/>
      <c r="D166" s="18"/>
    </row>
    <row r="167" spans="1:5" ht="13.5" thickBot="1" x14ac:dyDescent="0.25">
      <c r="A167" s="12"/>
      <c r="B167" s="19"/>
      <c r="C167" s="4"/>
      <c r="D167" s="18"/>
    </row>
    <row r="168" spans="1:5" ht="13.5" thickBot="1" x14ac:dyDescent="0.25">
      <c r="A168" s="19"/>
      <c r="B168" s="19"/>
      <c r="C168" s="5"/>
      <c r="D168" s="18"/>
      <c r="E168" s="44" t="s">
        <v>153</v>
      </c>
    </row>
    <row r="169" spans="1:5" x14ac:dyDescent="0.2">
      <c r="A169" s="19"/>
      <c r="B169" s="19"/>
      <c r="D169" s="18"/>
      <c r="E169" s="47" t="s">
        <v>154</v>
      </c>
    </row>
    <row r="170" spans="1:5" ht="13.5" thickBot="1" x14ac:dyDescent="0.25">
      <c r="A170" s="22"/>
      <c r="B170" s="19"/>
      <c r="C170" s="5"/>
      <c r="D170" s="18"/>
      <c r="E170" s="47" t="s">
        <v>124</v>
      </c>
    </row>
    <row r="171" spans="1:5" x14ac:dyDescent="0.2">
      <c r="A171" s="19"/>
      <c r="B171" s="19"/>
      <c r="C171" s="5"/>
      <c r="D171" s="18"/>
      <c r="E171" s="18"/>
    </row>
    <row r="172" spans="1:5" x14ac:dyDescent="0.2">
      <c r="A172" s="18"/>
      <c r="B172" s="19"/>
      <c r="C172" s="5"/>
      <c r="D172" s="18"/>
      <c r="E172" s="18"/>
    </row>
    <row r="173" spans="1:5" x14ac:dyDescent="0.2">
      <c r="A173" s="18"/>
      <c r="B173" s="19"/>
      <c r="C173" s="5"/>
      <c r="D173" s="18"/>
      <c r="E173" s="18"/>
    </row>
    <row r="174" spans="1:5" x14ac:dyDescent="0.2">
      <c r="A174" s="18"/>
      <c r="B174" s="19"/>
      <c r="C174" s="7"/>
      <c r="D174" s="18"/>
      <c r="E174" s="18"/>
    </row>
    <row r="175" spans="1:5" x14ac:dyDescent="0.2">
      <c r="A175" s="18"/>
      <c r="B175" s="19"/>
      <c r="C175" s="7"/>
      <c r="D175" s="18"/>
      <c r="E175" s="18"/>
    </row>
    <row r="176" spans="1:5" x14ac:dyDescent="0.2">
      <c r="A176" s="18"/>
      <c r="B176" s="19"/>
      <c r="D176" s="18"/>
      <c r="E176" s="18"/>
    </row>
    <row r="177" spans="1:5" x14ac:dyDescent="0.2">
      <c r="A177" s="18"/>
      <c r="B177" s="19"/>
      <c r="D177" s="18"/>
      <c r="E177" s="18"/>
    </row>
    <row r="178" spans="1:5" x14ac:dyDescent="0.2">
      <c r="A178" s="18"/>
      <c r="B178" s="19"/>
      <c r="C178" s="32" t="s">
        <v>142</v>
      </c>
      <c r="D178" s="18"/>
      <c r="E178" s="18"/>
    </row>
    <row r="179" spans="1:5" x14ac:dyDescent="0.2">
      <c r="A179" s="18"/>
      <c r="B179" s="19"/>
      <c r="C179" s="33" t="s">
        <v>87</v>
      </c>
      <c r="D179" s="18"/>
      <c r="E179" s="18"/>
    </row>
    <row r="180" spans="1:5" x14ac:dyDescent="0.2">
      <c r="A180" s="18"/>
      <c r="B180" s="18"/>
      <c r="C180" s="9" t="s">
        <v>23</v>
      </c>
      <c r="D180" s="18"/>
      <c r="E180" s="18"/>
    </row>
    <row r="181" spans="1:5" x14ac:dyDescent="0.2">
      <c r="A181" s="18"/>
      <c r="B181" s="18"/>
      <c r="C181" s="18"/>
      <c r="D181" s="18"/>
      <c r="E181" s="18"/>
    </row>
    <row r="182" spans="1:5" x14ac:dyDescent="0.2">
      <c r="A182" s="18"/>
      <c r="B182" s="18"/>
      <c r="C182" s="32" t="s">
        <v>91</v>
      </c>
      <c r="D182" s="18"/>
      <c r="E182" s="18"/>
    </row>
    <row r="183" spans="1:5" x14ac:dyDescent="0.2">
      <c r="A183" s="18"/>
      <c r="B183" s="18"/>
      <c r="C183" s="35" t="s">
        <v>92</v>
      </c>
      <c r="D183" s="18"/>
      <c r="E183" s="18"/>
    </row>
    <row r="184" spans="1:5" x14ac:dyDescent="0.2">
      <c r="A184" s="18"/>
      <c r="B184" s="18"/>
      <c r="C184" s="36" t="s">
        <v>93</v>
      </c>
      <c r="D184" s="18"/>
      <c r="E184" s="18"/>
    </row>
    <row r="185" spans="1:5" x14ac:dyDescent="0.2">
      <c r="A185" s="18"/>
      <c r="B185" s="18"/>
      <c r="C185" s="32" t="s">
        <v>94</v>
      </c>
      <c r="D185" s="18"/>
      <c r="E185" s="18"/>
    </row>
    <row r="186" spans="1:5" x14ac:dyDescent="0.2">
      <c r="A186" s="18"/>
      <c r="B186" s="18"/>
      <c r="C186" s="32" t="s">
        <v>95</v>
      </c>
      <c r="D186" s="18"/>
      <c r="E186" s="18"/>
    </row>
    <row r="187" spans="1:5" ht="13.5" thickBot="1" x14ac:dyDescent="0.25">
      <c r="A187" s="18"/>
      <c r="B187" s="18"/>
      <c r="C187" s="41" t="s">
        <v>97</v>
      </c>
      <c r="D187" s="18"/>
      <c r="E187" s="18"/>
    </row>
    <row r="188" spans="1:5" ht="13.5" thickBot="1" x14ac:dyDescent="0.25">
      <c r="A188" s="18"/>
      <c r="B188" s="18"/>
      <c r="C188" s="51" t="s">
        <v>143</v>
      </c>
      <c r="D188" s="18"/>
      <c r="E188" s="18"/>
    </row>
    <row r="189" spans="1:5" ht="13.5" thickBot="1" x14ac:dyDescent="0.25">
      <c r="A189" s="18"/>
      <c r="B189" s="18"/>
      <c r="C189" s="51" t="s">
        <v>98</v>
      </c>
      <c r="D189" s="18"/>
      <c r="E189" s="18"/>
    </row>
    <row r="190" spans="1:5" x14ac:dyDescent="0.2">
      <c r="A190" s="18"/>
      <c r="B190" s="18"/>
      <c r="C190" s="36" t="s">
        <v>152</v>
      </c>
      <c r="D190" s="18"/>
      <c r="E190" s="18"/>
    </row>
    <row r="191" spans="1:5" x14ac:dyDescent="0.2">
      <c r="A191" s="18"/>
      <c r="B191" s="18"/>
      <c r="C191" s="36" t="s">
        <v>99</v>
      </c>
      <c r="D191" s="18"/>
      <c r="E191" s="18"/>
    </row>
    <row r="192" spans="1:5" x14ac:dyDescent="0.2">
      <c r="A192" s="18"/>
      <c r="B192" s="18"/>
      <c r="C192" s="36" t="s">
        <v>100</v>
      </c>
      <c r="D192" s="18"/>
      <c r="E192" s="18"/>
    </row>
    <row r="193" spans="1:5" x14ac:dyDescent="0.2">
      <c r="A193" s="18"/>
      <c r="B193" s="18"/>
      <c r="C193" s="36" t="s">
        <v>101</v>
      </c>
      <c r="D193" s="18"/>
      <c r="E193" s="18"/>
    </row>
    <row r="194" spans="1:5" x14ac:dyDescent="0.2">
      <c r="A194" s="18"/>
      <c r="B194" s="18"/>
      <c r="C194" s="36" t="s">
        <v>102</v>
      </c>
      <c r="D194" s="18"/>
      <c r="E194" s="18"/>
    </row>
    <row r="195" spans="1:5" ht="13.5" thickBot="1" x14ac:dyDescent="0.25">
      <c r="A195" s="18"/>
      <c r="B195" s="18"/>
      <c r="C195" s="41" t="s">
        <v>103</v>
      </c>
      <c r="D195" s="18"/>
      <c r="E195" s="18"/>
    </row>
    <row r="196" spans="1:5" ht="13.5" thickBot="1" x14ac:dyDescent="0.25">
      <c r="A196" s="18"/>
      <c r="B196" s="18"/>
      <c r="C196" s="34" t="s">
        <v>156</v>
      </c>
      <c r="D196" s="18"/>
      <c r="E196" s="18"/>
    </row>
    <row r="197" spans="1:5" x14ac:dyDescent="0.2">
      <c r="A197" s="18"/>
      <c r="B197" s="18"/>
      <c r="C197" s="32" t="s">
        <v>146</v>
      </c>
      <c r="D197" s="18"/>
      <c r="E197" s="18"/>
    </row>
  </sheetData>
  <sheetProtection selectLockedCells="1" selectUnlockedCells="1"/>
  <mergeCells count="34">
    <mergeCell ref="A42:B42"/>
    <mergeCell ref="A36:B36"/>
    <mergeCell ref="E36:F36"/>
    <mergeCell ref="A37:B37"/>
    <mergeCell ref="E37:F37"/>
    <mergeCell ref="A38:B38"/>
    <mergeCell ref="E38:F38"/>
    <mergeCell ref="A39:B39"/>
    <mergeCell ref="E39:F39"/>
    <mergeCell ref="A40:B40"/>
    <mergeCell ref="E40:F40"/>
    <mergeCell ref="A41:B41"/>
    <mergeCell ref="A54:B54"/>
    <mergeCell ref="A43:B43"/>
    <mergeCell ref="A44:B44"/>
    <mergeCell ref="A45:B45"/>
    <mergeCell ref="A46:B46"/>
    <mergeCell ref="A47:B47"/>
    <mergeCell ref="A48:B48"/>
    <mergeCell ref="A49:B49"/>
    <mergeCell ref="A50:B50"/>
    <mergeCell ref="A51:B51"/>
    <mergeCell ref="A52:B52"/>
    <mergeCell ref="A53:B53"/>
    <mergeCell ref="A61:B61"/>
    <mergeCell ref="A62:B62"/>
    <mergeCell ref="A63:B63"/>
    <mergeCell ref="A64:B64"/>
    <mergeCell ref="A55:B55"/>
    <mergeCell ref="A56:B56"/>
    <mergeCell ref="A57:B57"/>
    <mergeCell ref="A58:B58"/>
    <mergeCell ref="A59:B59"/>
    <mergeCell ref="A60:B60"/>
  </mergeCells>
  <conditionalFormatting sqref="B117">
    <cfRule type="cellIs" dxfId="4" priority="5" operator="lessThanOrEqual">
      <formula>NOW()</formula>
    </cfRule>
  </conditionalFormatting>
  <conditionalFormatting sqref="B6 F6">
    <cfRule type="cellIs" dxfId="3" priority="4" operator="lessThanOrEqual">
      <formula>NOW()</formula>
    </cfRule>
  </conditionalFormatting>
  <conditionalFormatting sqref="C6">
    <cfRule type="cellIs" dxfId="2" priority="3" operator="lessThanOrEqual">
      <formula>NOW()</formula>
    </cfRule>
  </conditionalFormatting>
  <conditionalFormatting sqref="D6">
    <cfRule type="cellIs" dxfId="1" priority="2" operator="lessThanOrEqual">
      <formula>NOW()</formula>
    </cfRule>
  </conditionalFormatting>
  <conditionalFormatting sqref="E6">
    <cfRule type="cellIs" dxfId="0" priority="1" operator="lessThanOrEqual">
      <formula>NOW()</formula>
    </cfRule>
  </conditionalFormatting>
  <hyperlinks>
    <hyperlink ref="A117" r:id="rId1" xr:uid="{2783CC09-2230-4732-9EA0-491324FD65DA}"/>
    <hyperlink ref="A118" r:id="rId2" display="Approvable Rations Chart" xr:uid="{12275CE8-193F-4CB0-8C0E-45BF9DD6F063}"/>
    <hyperlink ref="A119" r:id="rId3" xr:uid="{87AE0825-6863-44D4-B144-892D87761FD3}"/>
    <hyperlink ref="A120" r:id="rId4" xr:uid="{40BC1A84-F6E7-49F3-A890-3CC751A85177}"/>
    <hyperlink ref="A121" r:id="rId5" xr:uid="{633565C7-65AF-4E9B-A22E-CCAEA09038CD}"/>
    <hyperlink ref="A122" r:id="rId6" xr:uid="{2B148EBB-06B8-4CBE-A0B0-C202C8238149}"/>
    <hyperlink ref="A123" r:id="rId7" xr:uid="{E2888609-FBBF-427B-A85E-85F50B07D3CB}"/>
    <hyperlink ref="A124" r:id="rId8" xr:uid="{3371B557-CA09-41B3-A533-5B0B39B84A34}"/>
    <hyperlink ref="A125" r:id="rId9" xr:uid="{1BFB088C-1D23-4863-B9DE-DB4653E69F63}"/>
    <hyperlink ref="A126" r:id="rId10" xr:uid="{826D95AA-9DC8-4322-94BE-C5C51B7D4EB2}"/>
    <hyperlink ref="A127" r:id="rId11" xr:uid="{04B2CC9F-E8CF-46E0-A307-132D226A9BD1}"/>
    <hyperlink ref="A128" r:id="rId12" xr:uid="{A9E514D6-2B60-4A2E-98F5-F8325D8BA047}"/>
    <hyperlink ref="F2" location="'FHA Master Sheet'!A1" display="Go to Master Sheet" xr:uid="{A5CAC1D1-0F52-482B-9379-B2487F32CBFC}"/>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3778" r:id="rId16" name="Button 2">
              <controlPr defaultSize="0" print="0" autoFill="0" autoPict="0" macro="[0]!Sheet38.SearchSheetName">
                <anchor moveWithCells="1" sizeWithCells="1">
                  <from>
                    <xdr:col>2</xdr:col>
                    <xdr:colOff>723900</xdr:colOff>
                    <xdr:row>0</xdr:row>
                    <xdr:rowOff>85725</xdr:rowOff>
                  </from>
                  <to>
                    <xdr:col>3</xdr:col>
                    <xdr:colOff>1752600</xdr:colOff>
                    <xdr:row>1</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F7AC4C57A17B74A97B5A43EEE13B25C" ma:contentTypeVersion="4" ma:contentTypeDescription="Create a new document." ma:contentTypeScope="" ma:versionID="a58bc89b69fd302033e2e26a94a0fccf">
  <xsd:schema xmlns:xsd="http://www.w3.org/2001/XMLSchema" xmlns:xs="http://www.w3.org/2001/XMLSchema" xmlns:p="http://schemas.microsoft.com/office/2006/metadata/properties" xmlns:ns3="baea2c3a-3b49-4ecc-b0d8-6133d698b17a" targetNamespace="http://schemas.microsoft.com/office/2006/metadata/properties" ma:root="true" ma:fieldsID="4b51fe2e733ba3905c8b395391b2d3f0" ns3:_="">
    <xsd:import namespace="baea2c3a-3b49-4ecc-b0d8-6133d698b17a"/>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ea2c3a-3b49-4ecc-b0d8-6133d698b1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8CBDA2-2DBD-4219-A908-D5A2B4D6707A}">
  <ds:schemaRefs>
    <ds:schemaRef ds:uri="http://schemas.microsoft.com/sharepoint/v3/contenttype/forms"/>
  </ds:schemaRefs>
</ds:datastoreItem>
</file>

<file path=customXml/itemProps2.xml><?xml version="1.0" encoding="utf-8"?>
<ds:datastoreItem xmlns:ds="http://schemas.openxmlformats.org/officeDocument/2006/customXml" ds:itemID="{7F6E00A0-FCBF-41AD-A81F-E75D87DAFCAB}">
  <ds:schemaRefs>
    <ds:schemaRef ds:uri="http://purl.org/dc/elements/1.1/"/>
    <ds:schemaRef ds:uri="http://purl.org/dc/terms/"/>
    <ds:schemaRef ds:uri="http://schemas.microsoft.com/office/infopath/2007/PartnerControls"/>
    <ds:schemaRef ds:uri="http://purl.org/dc/dcmitype/"/>
    <ds:schemaRef ds:uri="http://www.w3.org/XML/1998/namespace"/>
    <ds:schemaRef ds:uri="http://schemas.openxmlformats.org/package/2006/metadata/core-properties"/>
    <ds:schemaRef ds:uri="baea2c3a-3b49-4ecc-b0d8-6133d698b17a"/>
    <ds:schemaRef ds:uri="http://schemas.microsoft.com/office/2006/documentManagement/types"/>
    <ds:schemaRef ds:uri="http://schemas.microsoft.com/office/2006/metadata/properties"/>
  </ds:schemaRefs>
</ds:datastoreItem>
</file>

<file path=customXml/itemProps3.xml><?xml version="1.0" encoding="utf-8"?>
<ds:datastoreItem xmlns:ds="http://schemas.openxmlformats.org/officeDocument/2006/customXml" ds:itemID="{3716B079-A1C4-4CAC-AE59-864F9CE8DE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ea2c3a-3b49-4ecc-b0d8-6133d698b1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FHA Master Sheet</vt:lpstr>
      <vt:lpstr>CONV Master Sheet </vt:lpstr>
      <vt:lpstr>JUMBO Master Sheet</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McBrair, Troy A</dc:creator>
  <cp:lastModifiedBy>Troy</cp:lastModifiedBy>
  <dcterms:created xsi:type="dcterms:W3CDTF">2020-02-26T21:46:17Z</dcterms:created>
  <dcterms:modified xsi:type="dcterms:W3CDTF">2023-10-06T15:10:10Z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0x0101005F7AC4C57A17B74A97B5A43EEE13B25C</vt:lpwstr>
  </property>
</Properties>
</file>